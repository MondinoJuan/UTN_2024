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OneDrive\Escritorio\UTN 2024\Probabilidad y estadística\Unidad 1\"/>
    </mc:Choice>
  </mc:AlternateContent>
  <xr:revisionPtr revIDLastSave="0" documentId="13_ncr:1_{0F191686-8AAF-40B3-8C36-2D5D73C9454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jercicio 4" sheetId="4" r:id="rId1"/>
    <sheet name="Ejercicio 5" sheetId="3" r:id="rId2"/>
    <sheet name="Ejercicio 6" sheetId="2" r:id="rId3"/>
    <sheet name="Ejercicio 10" sheetId="5" r:id="rId4"/>
    <sheet name="Ejercicio 17" sheetId="1" r:id="rId5"/>
  </sheets>
  <definedNames>
    <definedName name="_xlchart.v1.0" hidden="1">'Ejercicio 6'!$G$4:$G$33</definedName>
    <definedName name="_xlchart.v1.1" hidden="1">'Ejercicio 6'!$M$4:$M$33</definedName>
    <definedName name="_xlchart.v1.2" hidden="1">'Ejercicio 6'!$N$12:$N$41</definedName>
    <definedName name="_xlchart.v1.3" hidden="1">'Ejercicio 6'!$S$4:$S$33</definedName>
    <definedName name="_xlchart.v1.4" hidden="1">'Ejercicio 6'!$G$4:$G$33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D17" i="5" a="1"/>
  <c r="D17" i="5" s="1"/>
  <c r="D16" i="5"/>
  <c r="D15" i="5"/>
  <c r="E14" i="5" a="1"/>
  <c r="E14" i="5" s="1"/>
  <c r="F11" i="5"/>
  <c r="F6" i="5"/>
  <c r="F7" i="5"/>
  <c r="F8" i="5"/>
  <c r="F9" i="5"/>
  <c r="F10" i="5"/>
  <c r="F5" i="5"/>
  <c r="H5" i="5" s="1"/>
  <c r="E11" i="5"/>
  <c r="G5" i="5"/>
  <c r="G6" i="5" s="1"/>
  <c r="G7" i="5" s="1"/>
  <c r="G8" i="5" s="1"/>
  <c r="G9" i="5" s="1"/>
  <c r="G10" i="5" s="1"/>
  <c r="S34" i="2"/>
  <c r="T33" i="2" s="1"/>
  <c r="T32" i="2"/>
  <c r="T31" i="2"/>
  <c r="T30" i="2"/>
  <c r="T28" i="2"/>
  <c r="T27" i="2"/>
  <c r="T26" i="2"/>
  <c r="T24" i="2"/>
  <c r="T23" i="2"/>
  <c r="T22" i="2"/>
  <c r="T20" i="2"/>
  <c r="T19" i="2"/>
  <c r="T18" i="2"/>
  <c r="T16" i="2"/>
  <c r="T15" i="2"/>
  <c r="T14" i="2"/>
  <c r="T12" i="2"/>
  <c r="T11" i="2"/>
  <c r="T10" i="2"/>
  <c r="T9" i="2"/>
  <c r="T8" i="2"/>
  <c r="T7" i="2"/>
  <c r="T6" i="2"/>
  <c r="T5" i="2"/>
  <c r="R5" i="2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U4" i="2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T4" i="2"/>
  <c r="M34" i="2"/>
  <c r="N33" i="2" s="1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O4" i="2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N4" i="2"/>
  <c r="N34" i="2" s="1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5" i="2"/>
  <c r="J4" i="2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5" i="2"/>
  <c r="I4" i="2"/>
  <c r="H3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4" i="2"/>
  <c r="G34" i="2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76" i="1"/>
  <c r="H6" i="5" l="1"/>
  <c r="H7" i="5" s="1"/>
  <c r="H8" i="5" s="1"/>
  <c r="H9" i="5" s="1"/>
  <c r="H10" i="5" s="1"/>
  <c r="T13" i="2"/>
  <c r="T34" i="2" s="1"/>
  <c r="T17" i="2"/>
  <c r="T21" i="2"/>
  <c r="T25" i="2"/>
  <c r="T29" i="2"/>
  <c r="V4" i="2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P4" i="2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D82" i="1"/>
  <c r="D81" i="1"/>
  <c r="J3" i="1"/>
  <c r="J4" i="1"/>
  <c r="J2" i="1"/>
  <c r="I6" i="1"/>
  <c r="H3" i="1"/>
  <c r="I3" i="1" s="1"/>
  <c r="H4" i="1"/>
  <c r="I4" i="1" s="1"/>
  <c r="H5" i="1"/>
  <c r="J5" i="1" s="1"/>
  <c r="H6" i="1"/>
  <c r="J6" i="1" s="1"/>
  <c r="H2" i="1"/>
  <c r="I2" i="1" s="1"/>
  <c r="J7" i="1" l="1"/>
  <c r="H7" i="1"/>
  <c r="I5" i="1"/>
  <c r="I7" i="1"/>
  <c r="D80" i="1"/>
  <c r="E84" i="1" l="1"/>
  <c r="D84" i="1"/>
  <c r="J8" i="1"/>
  <c r="J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<sst xmlns="http://schemas.openxmlformats.org/spreadsheetml/2006/main" count="52" uniqueCount="32">
  <si>
    <t>Grosor</t>
  </si>
  <si>
    <t>Media=</t>
  </si>
  <si>
    <t>Desvío=</t>
  </si>
  <si>
    <t>Especificaciones</t>
  </si>
  <si>
    <t>4,5 - 5,5</t>
  </si>
  <si>
    <t>1°período</t>
  </si>
  <si>
    <t>2°período</t>
  </si>
  <si>
    <t>3°período</t>
  </si>
  <si>
    <t>Clase (k)</t>
  </si>
  <si>
    <r>
      <t>n</t>
    </r>
    <r>
      <rPr>
        <vertAlign val="subscript"/>
        <sz val="11"/>
        <color theme="1"/>
        <rFont val="Calibri"/>
        <family val="2"/>
        <scheme val="minor"/>
      </rPr>
      <t>k</t>
    </r>
  </si>
  <si>
    <t>PQ</t>
  </si>
  <si>
    <t>RR</t>
  </si>
  <si>
    <t>SO</t>
  </si>
  <si>
    <t>MQ</t>
  </si>
  <si>
    <t>MN</t>
  </si>
  <si>
    <t>PE</t>
  </si>
  <si>
    <t>Días</t>
  </si>
  <si>
    <t>fk</t>
  </si>
  <si>
    <t>Nk</t>
  </si>
  <si>
    <t>Fk</t>
  </si>
  <si>
    <t>Cant. Defectuosos (nk)</t>
  </si>
  <si>
    <t>Total</t>
  </si>
  <si>
    <t>Ejemplo 2.4</t>
  </si>
  <si>
    <t>Clase</t>
  </si>
  <si>
    <t>Intervalos</t>
  </si>
  <si>
    <t>Desvío Estándar</t>
  </si>
  <si>
    <t>s</t>
  </si>
  <si>
    <t>Promedio</t>
  </si>
  <si>
    <t>Moda</t>
  </si>
  <si>
    <t>media</t>
  </si>
  <si>
    <t>Mediana</t>
  </si>
  <si>
    <t>Varianza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</si>
</sst>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2" fillId="0" borderId="3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Border="1"/>
    <xf numFmtId="0" fontId="2" fillId="0" borderId="6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1°</a:t>
            </a:r>
            <a:r>
              <a:rPr lang="en-US" baseline="0"/>
              <a:t> Período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'Ejercicio 6'!$G$4:$G$33</c:f>
              <c:numCache>
                <c:formatCode>General</c:formatCode>
                <c:ptCount val="30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10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10</c:v>
                </c:pt>
                <c:pt idx="11">
                  <c:v>5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6</c:v>
                </c:pt>
                <c:pt idx="16">
                  <c:v>10</c:v>
                </c:pt>
                <c:pt idx="17">
                  <c:v>6</c:v>
                </c:pt>
                <c:pt idx="18">
                  <c:v>3</c:v>
                </c:pt>
                <c:pt idx="19">
                  <c:v>9</c:v>
                </c:pt>
                <c:pt idx="20">
                  <c:v>7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5</c:v>
                </c:pt>
                <c:pt idx="27">
                  <c:v>7</c:v>
                </c:pt>
                <c:pt idx="28">
                  <c:v>9</c:v>
                </c:pt>
                <c:pt idx="2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B-4C94-8231-DA9F1C737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470031"/>
        <c:axId val="142446523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'Ejercicio 6'!$H$4:$H$33</c:f>
              <c:numCache>
                <c:formatCode>General</c:formatCode>
                <c:ptCount val="30"/>
                <c:pt idx="0">
                  <c:v>2.1739130434782608E-2</c:v>
                </c:pt>
                <c:pt idx="1">
                  <c:v>4.3478260869565216E-2</c:v>
                </c:pt>
                <c:pt idx="2">
                  <c:v>1.6304347826086956E-2</c:v>
                </c:pt>
                <c:pt idx="3">
                  <c:v>5.434782608695652E-2</c:v>
                </c:pt>
                <c:pt idx="4">
                  <c:v>2.1739130434782608E-2</c:v>
                </c:pt>
                <c:pt idx="5">
                  <c:v>3.2608695652173912E-2</c:v>
                </c:pt>
                <c:pt idx="6">
                  <c:v>1.6304347826086956E-2</c:v>
                </c:pt>
                <c:pt idx="7">
                  <c:v>2.1739130434782608E-2</c:v>
                </c:pt>
                <c:pt idx="8">
                  <c:v>2.717391304347826E-2</c:v>
                </c:pt>
                <c:pt idx="9">
                  <c:v>3.2608695652173912E-2</c:v>
                </c:pt>
                <c:pt idx="10">
                  <c:v>5.434782608695652E-2</c:v>
                </c:pt>
                <c:pt idx="11">
                  <c:v>2.717391304347826E-2</c:v>
                </c:pt>
                <c:pt idx="12">
                  <c:v>2.1739130434782608E-2</c:v>
                </c:pt>
                <c:pt idx="13">
                  <c:v>3.8043478260869568E-2</c:v>
                </c:pt>
                <c:pt idx="14">
                  <c:v>4.3478260869565216E-2</c:v>
                </c:pt>
                <c:pt idx="15">
                  <c:v>3.2608695652173912E-2</c:v>
                </c:pt>
                <c:pt idx="16">
                  <c:v>5.434782608695652E-2</c:v>
                </c:pt>
                <c:pt idx="17">
                  <c:v>3.2608695652173912E-2</c:v>
                </c:pt>
                <c:pt idx="18">
                  <c:v>1.6304347826086956E-2</c:v>
                </c:pt>
                <c:pt idx="19">
                  <c:v>4.8913043478260872E-2</c:v>
                </c:pt>
                <c:pt idx="20">
                  <c:v>3.8043478260869568E-2</c:v>
                </c:pt>
                <c:pt idx="21">
                  <c:v>3.8043478260869568E-2</c:v>
                </c:pt>
                <c:pt idx="22">
                  <c:v>3.2608695652173912E-2</c:v>
                </c:pt>
                <c:pt idx="23">
                  <c:v>2.717391304347826E-2</c:v>
                </c:pt>
                <c:pt idx="24">
                  <c:v>3.2608695652173912E-2</c:v>
                </c:pt>
                <c:pt idx="25">
                  <c:v>3.2608695652173912E-2</c:v>
                </c:pt>
                <c:pt idx="26">
                  <c:v>2.717391304347826E-2</c:v>
                </c:pt>
                <c:pt idx="27">
                  <c:v>3.8043478260869568E-2</c:v>
                </c:pt>
                <c:pt idx="28">
                  <c:v>4.8913043478260872E-2</c:v>
                </c:pt>
                <c:pt idx="29">
                  <c:v>2.717391304347826E-2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B-4C94-8231-DA9F1C737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472911"/>
        <c:axId val="1424469071"/>
      </c:lineChart>
      <c:catAx>
        <c:axId val="1424470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65231"/>
        <c:crosses val="autoZero"/>
        <c:auto val="1"/>
        <c:lblAlgn val="ctr"/>
        <c:lblOffset val="100"/>
        <c:noMultiLvlLbl val="0"/>
      </c:catAx>
      <c:valAx>
        <c:axId val="1424465231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70031"/>
        <c:crosses val="autoZero"/>
        <c:crossBetween val="between"/>
      </c:valAx>
      <c:valAx>
        <c:axId val="1424469071"/>
        <c:scaling>
          <c:orientation val="minMax"/>
          <c:max val="7.0000000000000007E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72911"/>
        <c:crosses val="max"/>
        <c:crossBetween val="between"/>
      </c:valAx>
      <c:catAx>
        <c:axId val="1424472911"/>
        <c:scaling>
          <c:orientation val="minMax"/>
        </c:scaling>
        <c:delete val="1"/>
        <c:axPos val="b"/>
        <c:majorTickMark val="out"/>
        <c:minorTickMark val="none"/>
        <c:tickLblPos val="nextTo"/>
        <c:crossAx val="14244690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2°</a:t>
            </a:r>
            <a:r>
              <a:rPr lang="en-US" baseline="0"/>
              <a:t> Período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'Ejercicio 6'!$M$4:$M$33</c:f>
              <c:numCache>
                <c:formatCode>General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4</c:v>
                </c:pt>
                <c:pt idx="17">
                  <c:v>6</c:v>
                </c:pt>
                <c:pt idx="18">
                  <c:v>6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4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5-44C5-A7EF-BFC5567B9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228047"/>
        <c:axId val="153723716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'Ejercicio 6'!$N$4:$N$33</c:f>
              <c:numCache>
                <c:formatCode>General</c:formatCode>
                <c:ptCount val="30"/>
                <c:pt idx="0">
                  <c:v>3.5087719298245612E-2</c:v>
                </c:pt>
                <c:pt idx="1">
                  <c:v>1.7543859649122806E-2</c:v>
                </c:pt>
                <c:pt idx="2">
                  <c:v>1.1695906432748537E-2</c:v>
                </c:pt>
                <c:pt idx="3">
                  <c:v>3.5087719298245612E-2</c:v>
                </c:pt>
                <c:pt idx="4">
                  <c:v>2.3391812865497075E-2</c:v>
                </c:pt>
                <c:pt idx="5">
                  <c:v>3.5087719298245612E-2</c:v>
                </c:pt>
                <c:pt idx="6">
                  <c:v>2.9239766081871343E-2</c:v>
                </c:pt>
                <c:pt idx="7">
                  <c:v>2.9239766081871343E-2</c:v>
                </c:pt>
                <c:pt idx="8">
                  <c:v>4.0935672514619881E-2</c:v>
                </c:pt>
                <c:pt idx="9">
                  <c:v>5.2631578947368418E-2</c:v>
                </c:pt>
                <c:pt idx="10">
                  <c:v>4.6783625730994149E-2</c:v>
                </c:pt>
                <c:pt idx="11">
                  <c:v>4.6783625730994149E-2</c:v>
                </c:pt>
                <c:pt idx="12">
                  <c:v>2.9239766081871343E-2</c:v>
                </c:pt>
                <c:pt idx="13">
                  <c:v>3.5087719298245612E-2</c:v>
                </c:pt>
                <c:pt idx="14">
                  <c:v>3.5087719298245612E-2</c:v>
                </c:pt>
                <c:pt idx="15">
                  <c:v>4.0935672514619881E-2</c:v>
                </c:pt>
                <c:pt idx="16">
                  <c:v>2.3391812865497075E-2</c:v>
                </c:pt>
                <c:pt idx="17">
                  <c:v>3.5087719298245612E-2</c:v>
                </c:pt>
                <c:pt idx="18">
                  <c:v>3.5087719298245612E-2</c:v>
                </c:pt>
                <c:pt idx="19">
                  <c:v>2.3391812865497075E-2</c:v>
                </c:pt>
                <c:pt idx="20">
                  <c:v>2.9239766081871343E-2</c:v>
                </c:pt>
                <c:pt idx="21">
                  <c:v>4.0935672514619881E-2</c:v>
                </c:pt>
                <c:pt idx="22">
                  <c:v>4.0935672514619881E-2</c:v>
                </c:pt>
                <c:pt idx="23">
                  <c:v>3.5087719298245612E-2</c:v>
                </c:pt>
                <c:pt idx="24">
                  <c:v>2.3391812865497075E-2</c:v>
                </c:pt>
                <c:pt idx="25">
                  <c:v>3.5087719298245612E-2</c:v>
                </c:pt>
                <c:pt idx="26">
                  <c:v>3.5087719298245612E-2</c:v>
                </c:pt>
                <c:pt idx="27">
                  <c:v>2.9239766081871343E-2</c:v>
                </c:pt>
                <c:pt idx="28">
                  <c:v>2.9239766081871343E-2</c:v>
                </c:pt>
                <c:pt idx="29">
                  <c:v>4.0935672514619881E-2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B5-44C5-A7EF-BFC5567B9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227087"/>
        <c:axId val="1537229487"/>
      </c:lineChart>
      <c:catAx>
        <c:axId val="1537228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37167"/>
        <c:crosses val="autoZero"/>
        <c:auto val="1"/>
        <c:lblAlgn val="ctr"/>
        <c:lblOffset val="100"/>
        <c:noMultiLvlLbl val="0"/>
      </c:catAx>
      <c:valAx>
        <c:axId val="1537237167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28047"/>
        <c:crosses val="autoZero"/>
        <c:crossBetween val="between"/>
      </c:valAx>
      <c:valAx>
        <c:axId val="1537229487"/>
        <c:scaling>
          <c:orientation val="minMax"/>
          <c:max val="7.0000000000000007E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27087"/>
        <c:crosses val="max"/>
        <c:crossBetween val="between"/>
      </c:valAx>
      <c:catAx>
        <c:axId val="1537227087"/>
        <c:scaling>
          <c:orientation val="minMax"/>
        </c:scaling>
        <c:delete val="1"/>
        <c:axPos val="b"/>
        <c:majorTickMark val="out"/>
        <c:minorTickMark val="none"/>
        <c:tickLblPos val="nextTo"/>
        <c:crossAx val="153722948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3°</a:t>
            </a:r>
            <a:r>
              <a:rPr lang="en-US" baseline="0"/>
              <a:t> Período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'Ejercicio 6'!$S$4:$S$33</c:f>
              <c:numCache>
                <c:formatCode>General</c:formatCode>
                <c:ptCount val="30"/>
                <c:pt idx="0">
                  <c:v>4</c:v>
                </c:pt>
                <c:pt idx="1">
                  <c:v>11</c:v>
                </c:pt>
                <c:pt idx="2">
                  <c:v>5</c:v>
                </c:pt>
                <c:pt idx="3">
                  <c:v>12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14</c:v>
                </c:pt>
                <c:pt idx="8">
                  <c:v>8</c:v>
                </c:pt>
                <c:pt idx="9">
                  <c:v>12</c:v>
                </c:pt>
                <c:pt idx="10">
                  <c:v>10</c:v>
                </c:pt>
                <c:pt idx="11">
                  <c:v>9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11</c:v>
                </c:pt>
                <c:pt idx="20">
                  <c:v>9</c:v>
                </c:pt>
                <c:pt idx="21">
                  <c:v>13</c:v>
                </c:pt>
                <c:pt idx="22">
                  <c:v>9</c:v>
                </c:pt>
                <c:pt idx="23">
                  <c:v>14</c:v>
                </c:pt>
                <c:pt idx="24">
                  <c:v>10</c:v>
                </c:pt>
                <c:pt idx="25">
                  <c:v>12</c:v>
                </c:pt>
                <c:pt idx="26">
                  <c:v>8</c:v>
                </c:pt>
                <c:pt idx="27">
                  <c:v>10</c:v>
                </c:pt>
                <c:pt idx="28">
                  <c:v>7</c:v>
                </c:pt>
                <c:pt idx="2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A-444C-8AEA-EE1B11E6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464271"/>
        <c:axId val="142446283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'Ejercicio 6'!$T$4:$T$33</c:f>
              <c:numCache>
                <c:formatCode>General</c:formatCode>
                <c:ptCount val="30"/>
                <c:pt idx="0">
                  <c:v>1.3071895424836602E-2</c:v>
                </c:pt>
                <c:pt idx="1">
                  <c:v>3.5947712418300651E-2</c:v>
                </c:pt>
                <c:pt idx="2">
                  <c:v>1.6339869281045753E-2</c:v>
                </c:pt>
                <c:pt idx="3">
                  <c:v>3.9215686274509803E-2</c:v>
                </c:pt>
                <c:pt idx="4">
                  <c:v>1.9607843137254902E-2</c:v>
                </c:pt>
                <c:pt idx="5">
                  <c:v>2.9411764705882353E-2</c:v>
                </c:pt>
                <c:pt idx="6">
                  <c:v>2.9411764705882353E-2</c:v>
                </c:pt>
                <c:pt idx="7">
                  <c:v>4.5751633986928102E-2</c:v>
                </c:pt>
                <c:pt idx="8">
                  <c:v>2.6143790849673203E-2</c:v>
                </c:pt>
                <c:pt idx="9">
                  <c:v>3.9215686274509803E-2</c:v>
                </c:pt>
                <c:pt idx="10">
                  <c:v>3.2679738562091505E-2</c:v>
                </c:pt>
                <c:pt idx="11">
                  <c:v>2.9411764705882353E-2</c:v>
                </c:pt>
                <c:pt idx="12">
                  <c:v>3.9215686274509803E-2</c:v>
                </c:pt>
                <c:pt idx="13">
                  <c:v>3.5947712418300651E-2</c:v>
                </c:pt>
                <c:pt idx="14">
                  <c:v>3.5947712418300651E-2</c:v>
                </c:pt>
                <c:pt idx="15">
                  <c:v>4.2483660130718956E-2</c:v>
                </c:pt>
                <c:pt idx="16">
                  <c:v>3.9215686274509803E-2</c:v>
                </c:pt>
                <c:pt idx="17">
                  <c:v>3.9215686274509803E-2</c:v>
                </c:pt>
                <c:pt idx="18">
                  <c:v>3.2679738562091505E-2</c:v>
                </c:pt>
                <c:pt idx="19">
                  <c:v>3.5947712418300651E-2</c:v>
                </c:pt>
                <c:pt idx="20">
                  <c:v>2.9411764705882353E-2</c:v>
                </c:pt>
                <c:pt idx="21">
                  <c:v>4.2483660130718956E-2</c:v>
                </c:pt>
                <c:pt idx="22">
                  <c:v>2.9411764705882353E-2</c:v>
                </c:pt>
                <c:pt idx="23">
                  <c:v>4.5751633986928102E-2</c:v>
                </c:pt>
                <c:pt idx="24">
                  <c:v>3.2679738562091505E-2</c:v>
                </c:pt>
                <c:pt idx="25">
                  <c:v>3.9215686274509803E-2</c:v>
                </c:pt>
                <c:pt idx="26">
                  <c:v>2.6143790849673203E-2</c:v>
                </c:pt>
                <c:pt idx="27">
                  <c:v>3.2679738562091505E-2</c:v>
                </c:pt>
                <c:pt idx="28">
                  <c:v>2.2875816993464051E-2</c:v>
                </c:pt>
                <c:pt idx="29">
                  <c:v>4.2483660130718956E-2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A-444C-8AEA-EE1B11E6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254831"/>
        <c:axId val="1424251951"/>
      </c:lineChart>
      <c:catAx>
        <c:axId val="1424464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62831"/>
        <c:crosses val="autoZero"/>
        <c:auto val="1"/>
        <c:lblAlgn val="ctr"/>
        <c:lblOffset val="100"/>
        <c:noMultiLvlLbl val="0"/>
      </c:catAx>
      <c:valAx>
        <c:axId val="142446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64271"/>
        <c:crosses val="autoZero"/>
        <c:crossBetween val="between"/>
      </c:valAx>
      <c:valAx>
        <c:axId val="1424251951"/>
        <c:scaling>
          <c:orientation val="minMax"/>
          <c:max val="7.0000000000000007E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54831"/>
        <c:crosses val="max"/>
        <c:crossBetween val="between"/>
      </c:valAx>
      <c:catAx>
        <c:axId val="1424254831"/>
        <c:scaling>
          <c:orientation val="minMax"/>
        </c:scaling>
        <c:delete val="1"/>
        <c:axPos val="b"/>
        <c:majorTickMark val="out"/>
        <c:minorTickMark val="none"/>
        <c:tickLblPos val="nextTo"/>
        <c:crossAx val="14242519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</a:t>
            </a:r>
            <a:r>
              <a:rPr lang="en-US" baseline="0"/>
              <a:t> de Fk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'Ejercicio 6'!$J$4:$J$33</c:f>
              <c:numCache>
                <c:formatCode>General</c:formatCode>
                <c:ptCount val="30"/>
                <c:pt idx="0">
                  <c:v>2.1739130434782608E-2</c:v>
                </c:pt>
                <c:pt idx="1">
                  <c:v>6.5217391304347824E-2</c:v>
                </c:pt>
                <c:pt idx="2">
                  <c:v>8.1521739130434784E-2</c:v>
                </c:pt>
                <c:pt idx="3">
                  <c:v>0.1358695652173913</c:v>
                </c:pt>
                <c:pt idx="4">
                  <c:v>0.15760869565217389</c:v>
                </c:pt>
                <c:pt idx="5">
                  <c:v>0.19021739130434781</c:v>
                </c:pt>
                <c:pt idx="6">
                  <c:v>0.20652173913043476</c:v>
                </c:pt>
                <c:pt idx="7">
                  <c:v>0.22826086956521735</c:v>
                </c:pt>
                <c:pt idx="8">
                  <c:v>0.25543478260869562</c:v>
                </c:pt>
                <c:pt idx="9">
                  <c:v>0.28804347826086951</c:v>
                </c:pt>
                <c:pt idx="10">
                  <c:v>0.34239130434782605</c:v>
                </c:pt>
                <c:pt idx="11">
                  <c:v>0.36956521739130432</c:v>
                </c:pt>
                <c:pt idx="12">
                  <c:v>0.39130434782608692</c:v>
                </c:pt>
                <c:pt idx="13">
                  <c:v>0.42934782608695649</c:v>
                </c:pt>
                <c:pt idx="14">
                  <c:v>0.47282608695652173</c:v>
                </c:pt>
                <c:pt idx="15">
                  <c:v>0.50543478260869568</c:v>
                </c:pt>
                <c:pt idx="16">
                  <c:v>0.55978260869565222</c:v>
                </c:pt>
                <c:pt idx="17">
                  <c:v>0.59239130434782616</c:v>
                </c:pt>
                <c:pt idx="18">
                  <c:v>0.60869565217391308</c:v>
                </c:pt>
                <c:pt idx="19">
                  <c:v>0.65760869565217395</c:v>
                </c:pt>
                <c:pt idx="20">
                  <c:v>0.69565217391304346</c:v>
                </c:pt>
                <c:pt idx="21">
                  <c:v>0.73369565217391308</c:v>
                </c:pt>
                <c:pt idx="22">
                  <c:v>0.76630434782608703</c:v>
                </c:pt>
                <c:pt idx="23">
                  <c:v>0.7934782608695653</c:v>
                </c:pt>
                <c:pt idx="24">
                  <c:v>0.82608695652173925</c:v>
                </c:pt>
                <c:pt idx="25">
                  <c:v>0.85869565217391319</c:v>
                </c:pt>
                <c:pt idx="26">
                  <c:v>0.88586956521739146</c:v>
                </c:pt>
                <c:pt idx="27">
                  <c:v>0.92391304347826098</c:v>
                </c:pt>
                <c:pt idx="28">
                  <c:v>0.97282608695652184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5-428A-8874-42E61CC9C1B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'Ejercicio 6'!$P$4:$P$33</c:f>
              <c:numCache>
                <c:formatCode>General</c:formatCode>
                <c:ptCount val="30"/>
                <c:pt idx="0">
                  <c:v>3.5087719298245612E-2</c:v>
                </c:pt>
                <c:pt idx="1">
                  <c:v>5.2631578947368418E-2</c:v>
                </c:pt>
                <c:pt idx="2">
                  <c:v>6.4327485380116955E-2</c:v>
                </c:pt>
                <c:pt idx="3">
                  <c:v>9.9415204678362568E-2</c:v>
                </c:pt>
                <c:pt idx="4">
                  <c:v>0.12280701754385964</c:v>
                </c:pt>
                <c:pt idx="5">
                  <c:v>0.15789473684210525</c:v>
                </c:pt>
                <c:pt idx="6">
                  <c:v>0.1871345029239766</c:v>
                </c:pt>
                <c:pt idx="7">
                  <c:v>0.21637426900584794</c:v>
                </c:pt>
                <c:pt idx="8">
                  <c:v>0.25730994152046782</c:v>
                </c:pt>
                <c:pt idx="9">
                  <c:v>0.30994152046783624</c:v>
                </c:pt>
                <c:pt idx="10">
                  <c:v>0.35672514619883039</c:v>
                </c:pt>
                <c:pt idx="11">
                  <c:v>0.40350877192982454</c:v>
                </c:pt>
                <c:pt idx="12">
                  <c:v>0.43274853801169588</c:v>
                </c:pt>
                <c:pt idx="13">
                  <c:v>0.46783625730994149</c:v>
                </c:pt>
                <c:pt idx="14">
                  <c:v>0.50292397660818711</c:v>
                </c:pt>
                <c:pt idx="15">
                  <c:v>0.54385964912280693</c:v>
                </c:pt>
                <c:pt idx="16">
                  <c:v>0.56725146198830401</c:v>
                </c:pt>
                <c:pt idx="17">
                  <c:v>0.60233918128654962</c:v>
                </c:pt>
                <c:pt idx="18">
                  <c:v>0.63742690058479523</c:v>
                </c:pt>
                <c:pt idx="19">
                  <c:v>0.66081871345029231</c:v>
                </c:pt>
                <c:pt idx="20">
                  <c:v>0.69005847953216359</c:v>
                </c:pt>
                <c:pt idx="21">
                  <c:v>0.73099415204678353</c:v>
                </c:pt>
                <c:pt idx="22">
                  <c:v>0.77192982456140347</c:v>
                </c:pt>
                <c:pt idx="23">
                  <c:v>0.80701754385964908</c:v>
                </c:pt>
                <c:pt idx="24">
                  <c:v>0.83040935672514615</c:v>
                </c:pt>
                <c:pt idx="25">
                  <c:v>0.86549707602339176</c:v>
                </c:pt>
                <c:pt idx="26">
                  <c:v>0.90058479532163738</c:v>
                </c:pt>
                <c:pt idx="27">
                  <c:v>0.92982456140350878</c:v>
                </c:pt>
                <c:pt idx="28">
                  <c:v>0.95906432748538006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5-428A-8874-42E61CC9C1B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'Ejercicio 6'!$V$4:$V$33</c:f>
              <c:numCache>
                <c:formatCode>General</c:formatCode>
                <c:ptCount val="30"/>
                <c:pt idx="0">
                  <c:v>1.3071895424836602E-2</c:v>
                </c:pt>
                <c:pt idx="1">
                  <c:v>4.9019607843137254E-2</c:v>
                </c:pt>
                <c:pt idx="2">
                  <c:v>6.535947712418301E-2</c:v>
                </c:pt>
                <c:pt idx="3">
                  <c:v>0.10457516339869281</c:v>
                </c:pt>
                <c:pt idx="4">
                  <c:v>0.12418300653594772</c:v>
                </c:pt>
                <c:pt idx="5">
                  <c:v>0.15359477124183007</c:v>
                </c:pt>
                <c:pt idx="6">
                  <c:v>0.18300653594771243</c:v>
                </c:pt>
                <c:pt idx="7">
                  <c:v>0.22875816993464054</c:v>
                </c:pt>
                <c:pt idx="8">
                  <c:v>0.25490196078431376</c:v>
                </c:pt>
                <c:pt idx="9">
                  <c:v>0.29411764705882359</c:v>
                </c:pt>
                <c:pt idx="10">
                  <c:v>0.32679738562091509</c:v>
                </c:pt>
                <c:pt idx="11">
                  <c:v>0.35620915032679745</c:v>
                </c:pt>
                <c:pt idx="12">
                  <c:v>0.39542483660130723</c:v>
                </c:pt>
                <c:pt idx="13">
                  <c:v>0.43137254901960786</c:v>
                </c:pt>
                <c:pt idx="14">
                  <c:v>0.4673202614379085</c:v>
                </c:pt>
                <c:pt idx="15">
                  <c:v>0.50980392156862742</c:v>
                </c:pt>
                <c:pt idx="16">
                  <c:v>0.54901960784313719</c:v>
                </c:pt>
                <c:pt idx="17">
                  <c:v>0.58823529411764697</c:v>
                </c:pt>
                <c:pt idx="18">
                  <c:v>0.62091503267973847</c:v>
                </c:pt>
                <c:pt idx="19">
                  <c:v>0.6568627450980391</c:v>
                </c:pt>
                <c:pt idx="20">
                  <c:v>0.68627450980392146</c:v>
                </c:pt>
                <c:pt idx="21">
                  <c:v>0.72875816993464038</c:v>
                </c:pt>
                <c:pt idx="22">
                  <c:v>0.75816993464052274</c:v>
                </c:pt>
                <c:pt idx="23">
                  <c:v>0.80392156862745079</c:v>
                </c:pt>
                <c:pt idx="24">
                  <c:v>0.83660130718954229</c:v>
                </c:pt>
                <c:pt idx="25">
                  <c:v>0.87581699346405206</c:v>
                </c:pt>
                <c:pt idx="26">
                  <c:v>0.90196078431372528</c:v>
                </c:pt>
                <c:pt idx="27">
                  <c:v>0.93464052287581678</c:v>
                </c:pt>
                <c:pt idx="28">
                  <c:v>0.95751633986928086</c:v>
                </c:pt>
                <c:pt idx="29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85-428A-8874-42E61CC9C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232847"/>
        <c:axId val="1537239087"/>
      </c:lineChart>
      <c:catAx>
        <c:axId val="1537232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39087"/>
        <c:crosses val="autoZero"/>
        <c:auto val="1"/>
        <c:lblAlgn val="ctr"/>
        <c:lblOffset val="100"/>
        <c:noMultiLvlLbl val="0"/>
      </c:catAx>
      <c:valAx>
        <c:axId val="15372390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32847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Comparación de fk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'Ejercicio 6'!$H$4:$H$33</c:f>
              <c:numCache>
                <c:formatCode>General</c:formatCode>
                <c:ptCount val="30"/>
                <c:pt idx="0">
                  <c:v>2.1739130434782608E-2</c:v>
                </c:pt>
                <c:pt idx="1">
                  <c:v>4.3478260869565216E-2</c:v>
                </c:pt>
                <c:pt idx="2">
                  <c:v>1.6304347826086956E-2</c:v>
                </c:pt>
                <c:pt idx="3">
                  <c:v>5.434782608695652E-2</c:v>
                </c:pt>
                <c:pt idx="4">
                  <c:v>2.1739130434782608E-2</c:v>
                </c:pt>
                <c:pt idx="5">
                  <c:v>3.2608695652173912E-2</c:v>
                </c:pt>
                <c:pt idx="6">
                  <c:v>1.6304347826086956E-2</c:v>
                </c:pt>
                <c:pt idx="7">
                  <c:v>2.1739130434782608E-2</c:v>
                </c:pt>
                <c:pt idx="8">
                  <c:v>2.717391304347826E-2</c:v>
                </c:pt>
                <c:pt idx="9">
                  <c:v>3.2608695652173912E-2</c:v>
                </c:pt>
                <c:pt idx="10">
                  <c:v>5.434782608695652E-2</c:v>
                </c:pt>
                <c:pt idx="11">
                  <c:v>2.717391304347826E-2</c:v>
                </c:pt>
                <c:pt idx="12">
                  <c:v>2.1739130434782608E-2</c:v>
                </c:pt>
                <c:pt idx="13">
                  <c:v>3.8043478260869568E-2</c:v>
                </c:pt>
                <c:pt idx="14">
                  <c:v>4.3478260869565216E-2</c:v>
                </c:pt>
                <c:pt idx="15">
                  <c:v>3.2608695652173912E-2</c:v>
                </c:pt>
                <c:pt idx="16">
                  <c:v>5.434782608695652E-2</c:v>
                </c:pt>
                <c:pt idx="17">
                  <c:v>3.2608695652173912E-2</c:v>
                </c:pt>
                <c:pt idx="18">
                  <c:v>1.6304347826086956E-2</c:v>
                </c:pt>
                <c:pt idx="19">
                  <c:v>4.8913043478260872E-2</c:v>
                </c:pt>
                <c:pt idx="20">
                  <c:v>3.8043478260869568E-2</c:v>
                </c:pt>
                <c:pt idx="21">
                  <c:v>3.8043478260869568E-2</c:v>
                </c:pt>
                <c:pt idx="22">
                  <c:v>3.2608695652173912E-2</c:v>
                </c:pt>
                <c:pt idx="23">
                  <c:v>2.717391304347826E-2</c:v>
                </c:pt>
                <c:pt idx="24">
                  <c:v>3.2608695652173912E-2</c:v>
                </c:pt>
                <c:pt idx="25">
                  <c:v>3.2608695652173912E-2</c:v>
                </c:pt>
                <c:pt idx="26">
                  <c:v>2.717391304347826E-2</c:v>
                </c:pt>
                <c:pt idx="27">
                  <c:v>3.8043478260869568E-2</c:v>
                </c:pt>
                <c:pt idx="28">
                  <c:v>4.8913043478260872E-2</c:v>
                </c:pt>
                <c:pt idx="29">
                  <c:v>2.717391304347826E-2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F-4C22-99E0-0DA04449FCC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'Ejercicio 6'!$N$4:$N$33</c:f>
              <c:numCache>
                <c:formatCode>General</c:formatCode>
                <c:ptCount val="30"/>
                <c:pt idx="0">
                  <c:v>3.5087719298245612E-2</c:v>
                </c:pt>
                <c:pt idx="1">
                  <c:v>1.7543859649122806E-2</c:v>
                </c:pt>
                <c:pt idx="2">
                  <c:v>1.1695906432748537E-2</c:v>
                </c:pt>
                <c:pt idx="3">
                  <c:v>3.5087719298245612E-2</c:v>
                </c:pt>
                <c:pt idx="4">
                  <c:v>2.3391812865497075E-2</c:v>
                </c:pt>
                <c:pt idx="5">
                  <c:v>3.5087719298245612E-2</c:v>
                </c:pt>
                <c:pt idx="6">
                  <c:v>2.9239766081871343E-2</c:v>
                </c:pt>
                <c:pt idx="7">
                  <c:v>2.9239766081871343E-2</c:v>
                </c:pt>
                <c:pt idx="8">
                  <c:v>4.0935672514619881E-2</c:v>
                </c:pt>
                <c:pt idx="9">
                  <c:v>5.2631578947368418E-2</c:v>
                </c:pt>
                <c:pt idx="10">
                  <c:v>4.6783625730994149E-2</c:v>
                </c:pt>
                <c:pt idx="11">
                  <c:v>4.6783625730994149E-2</c:v>
                </c:pt>
                <c:pt idx="12">
                  <c:v>2.9239766081871343E-2</c:v>
                </c:pt>
                <c:pt idx="13">
                  <c:v>3.5087719298245612E-2</c:v>
                </c:pt>
                <c:pt idx="14">
                  <c:v>3.5087719298245612E-2</c:v>
                </c:pt>
                <c:pt idx="15">
                  <c:v>4.0935672514619881E-2</c:v>
                </c:pt>
                <c:pt idx="16">
                  <c:v>2.3391812865497075E-2</c:v>
                </c:pt>
                <c:pt idx="17">
                  <c:v>3.5087719298245612E-2</c:v>
                </c:pt>
                <c:pt idx="18">
                  <c:v>3.5087719298245612E-2</c:v>
                </c:pt>
                <c:pt idx="19">
                  <c:v>2.3391812865497075E-2</c:v>
                </c:pt>
                <c:pt idx="20">
                  <c:v>2.9239766081871343E-2</c:v>
                </c:pt>
                <c:pt idx="21">
                  <c:v>4.0935672514619881E-2</c:v>
                </c:pt>
                <c:pt idx="22">
                  <c:v>4.0935672514619881E-2</c:v>
                </c:pt>
                <c:pt idx="23">
                  <c:v>3.5087719298245612E-2</c:v>
                </c:pt>
                <c:pt idx="24">
                  <c:v>2.3391812865497075E-2</c:v>
                </c:pt>
                <c:pt idx="25">
                  <c:v>3.5087719298245612E-2</c:v>
                </c:pt>
                <c:pt idx="26">
                  <c:v>3.5087719298245612E-2</c:v>
                </c:pt>
                <c:pt idx="27">
                  <c:v>2.9239766081871343E-2</c:v>
                </c:pt>
                <c:pt idx="28">
                  <c:v>2.9239766081871343E-2</c:v>
                </c:pt>
                <c:pt idx="29">
                  <c:v>4.0935672514619881E-2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AF-4C22-99E0-0DA04449FCC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'Ejercicio 6'!$T$4:$T$33</c:f>
              <c:numCache>
                <c:formatCode>General</c:formatCode>
                <c:ptCount val="30"/>
                <c:pt idx="0">
                  <c:v>1.3071895424836602E-2</c:v>
                </c:pt>
                <c:pt idx="1">
                  <c:v>3.5947712418300651E-2</c:v>
                </c:pt>
                <c:pt idx="2">
                  <c:v>1.6339869281045753E-2</c:v>
                </c:pt>
                <c:pt idx="3">
                  <c:v>3.9215686274509803E-2</c:v>
                </c:pt>
                <c:pt idx="4">
                  <c:v>1.9607843137254902E-2</c:v>
                </c:pt>
                <c:pt idx="5">
                  <c:v>2.9411764705882353E-2</c:v>
                </c:pt>
                <c:pt idx="6">
                  <c:v>2.9411764705882353E-2</c:v>
                </c:pt>
                <c:pt idx="7">
                  <c:v>4.5751633986928102E-2</c:v>
                </c:pt>
                <c:pt idx="8">
                  <c:v>2.6143790849673203E-2</c:v>
                </c:pt>
                <c:pt idx="9">
                  <c:v>3.9215686274509803E-2</c:v>
                </c:pt>
                <c:pt idx="10">
                  <c:v>3.2679738562091505E-2</c:v>
                </c:pt>
                <c:pt idx="11">
                  <c:v>2.9411764705882353E-2</c:v>
                </c:pt>
                <c:pt idx="12">
                  <c:v>3.9215686274509803E-2</c:v>
                </c:pt>
                <c:pt idx="13">
                  <c:v>3.5947712418300651E-2</c:v>
                </c:pt>
                <c:pt idx="14">
                  <c:v>3.5947712418300651E-2</c:v>
                </c:pt>
                <c:pt idx="15">
                  <c:v>4.2483660130718956E-2</c:v>
                </c:pt>
                <c:pt idx="16">
                  <c:v>3.9215686274509803E-2</c:v>
                </c:pt>
                <c:pt idx="17">
                  <c:v>3.9215686274509803E-2</c:v>
                </c:pt>
                <c:pt idx="18">
                  <c:v>3.2679738562091505E-2</c:v>
                </c:pt>
                <c:pt idx="19">
                  <c:v>3.5947712418300651E-2</c:v>
                </c:pt>
                <c:pt idx="20">
                  <c:v>2.9411764705882353E-2</c:v>
                </c:pt>
                <c:pt idx="21">
                  <c:v>4.2483660130718956E-2</c:v>
                </c:pt>
                <c:pt idx="22">
                  <c:v>2.9411764705882353E-2</c:v>
                </c:pt>
                <c:pt idx="23">
                  <c:v>4.5751633986928102E-2</c:v>
                </c:pt>
                <c:pt idx="24">
                  <c:v>3.2679738562091505E-2</c:v>
                </c:pt>
                <c:pt idx="25">
                  <c:v>3.9215686274509803E-2</c:v>
                </c:pt>
                <c:pt idx="26">
                  <c:v>2.6143790849673203E-2</c:v>
                </c:pt>
                <c:pt idx="27">
                  <c:v>3.2679738562091505E-2</c:v>
                </c:pt>
                <c:pt idx="28">
                  <c:v>2.2875816993464051E-2</c:v>
                </c:pt>
                <c:pt idx="29">
                  <c:v>4.2483660130718956E-2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AF-4C22-99E0-0DA04449F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242399"/>
        <c:axId val="1547256319"/>
      </c:lineChart>
      <c:catAx>
        <c:axId val="1547242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56319"/>
        <c:crosses val="autoZero"/>
        <c:auto val="1"/>
        <c:lblAlgn val="ctr"/>
        <c:lblOffset val="100"/>
        <c:noMultiLvlLbl val="0"/>
      </c:catAx>
      <c:valAx>
        <c:axId val="15472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1° Período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1° Período</a:t>
          </a:r>
        </a:p>
      </cx:txPr>
    </cx:title>
    <cx:plotArea>
      <cx:plotAreaRegion>
        <cx:series layoutId="boxWhisker" uniqueId="{64A8474D-2280-4111-9B25-B1C6394F8F0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6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2° Período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2° Período</a:t>
          </a:r>
        </a:p>
      </cx:txPr>
    </cx:title>
    <cx:plotArea>
      <cx:plotAreaRegion>
        <cx:series layoutId="boxWhisker" uniqueId="{485F2E08-9AFC-48B5-AE2D-C7D5D21E5BEA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6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3° Período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3° Período</a:t>
          </a:r>
        </a:p>
      </cx:txPr>
    </cx:title>
    <cx:plotArea>
      <cx:plotAreaRegion>
        <cx:series layoutId="boxWhisker" uniqueId="{2A01F53D-3B31-4100-A516-60C04291073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784860</xdr:colOff>
      <xdr:row>34</xdr:row>
      <xdr:rowOff>179070</xdr:rowOff>
    </xdr:from>
    <xdr:to>
      <xdr:col>10</xdr:col>
      <xdr:colOff>15240</xdr:colOff>
      <xdr:row>49</xdr:row>
      <xdr:rowOff>179070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B0F495-E1B1-515D-8FC6-A8A72276D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34</xdr:row>
      <xdr:rowOff>179070</xdr:rowOff>
    </xdr:from>
    <xdr:to>
      <xdr:col>16</xdr:col>
      <xdr:colOff>60960</xdr:colOff>
      <xdr:row>49</xdr:row>
      <xdr:rowOff>179070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65EF32-C917-2E11-60DC-36616FBD8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34</xdr:row>
      <xdr:rowOff>171450</xdr:rowOff>
    </xdr:from>
    <xdr:to>
      <xdr:col>21</xdr:col>
      <xdr:colOff>723900</xdr:colOff>
      <xdr:row>49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BF168C1-2A63-F398-1957-020B4C284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</xdr:row>
      <xdr:rowOff>179070</xdr:rowOff>
    </xdr:from>
    <xdr:to>
      <xdr:col>34</xdr:col>
      <xdr:colOff>480060</xdr:colOff>
      <xdr:row>36</xdr:row>
      <xdr:rowOff>22860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953487-1A9D-7CBC-A601-148985543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37</xdr:row>
      <xdr:rowOff>3810</xdr:rowOff>
    </xdr:from>
    <xdr:to>
      <xdr:col>30</xdr:col>
      <xdr:colOff>15240</xdr:colOff>
      <xdr:row>57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5724F07-032A-152B-C401-ACC2A51AA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784860</xdr:colOff>
      <xdr:row>50</xdr:row>
      <xdr:rowOff>179070</xdr:rowOff>
    </xdr:from>
    <xdr:to>
      <xdr:col>10</xdr:col>
      <xdr:colOff>15240</xdr:colOff>
      <xdr:row>65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43B709BA-EEAD-D930-9CCD-2A1E5C3AE7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54780" y="9338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7620</xdr:colOff>
      <xdr:row>51</xdr:row>
      <xdr:rowOff>3810</xdr:rowOff>
    </xdr:from>
    <xdr:to>
      <xdr:col>16</xdr:col>
      <xdr:colOff>60960</xdr:colOff>
      <xdr:row>66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E0EA5AFF-0245-C822-9EEA-4FBA84DAC0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1640" y="93459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50</xdr:row>
      <xdr:rowOff>179070</xdr:rowOff>
    </xdr:from>
    <xdr:to>
      <xdr:col>21</xdr:col>
      <xdr:colOff>723900</xdr:colOff>
      <xdr:row>65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EDDCA3F0-9561-EC8F-1710-0E0881FDAD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15160" y="9338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E11" sqref="E11"/>
    </sheetView>
  </sheetViews>
  <sheetFormatPr baseColWidth="10" defaultRowHeight="14.4" x14ac:dyDescent="0.3"/>
  <sheetData>
    <row r="1" spans="1:2" ht="15.6" x14ac:dyDescent="0.35">
      <c r="A1" s="4" t="s">
        <v>8</v>
      </c>
      <c r="B1" s="4" t="s">
        <v>9</v>
      </c>
    </row>
    <row r="2" spans="1:2" x14ac:dyDescent="0.3">
      <c r="A2" s="4" t="s">
        <v>10</v>
      </c>
      <c r="B2" s="4">
        <v>15</v>
      </c>
    </row>
    <row r="3" spans="1:2" x14ac:dyDescent="0.3">
      <c r="A3" s="4" t="s">
        <v>11</v>
      </c>
      <c r="B3" s="4">
        <v>28</v>
      </c>
    </row>
    <row r="4" spans="1:2" x14ac:dyDescent="0.3">
      <c r="A4" s="4" t="s">
        <v>12</v>
      </c>
      <c r="B4" s="4">
        <v>37</v>
      </c>
    </row>
    <row r="5" spans="1:2" x14ac:dyDescent="0.3">
      <c r="A5" s="4" t="s">
        <v>13</v>
      </c>
      <c r="B5" s="4">
        <v>39</v>
      </c>
    </row>
    <row r="6" spans="1:2" x14ac:dyDescent="0.3">
      <c r="A6" s="4" t="s">
        <v>14</v>
      </c>
      <c r="B6" s="4">
        <v>21</v>
      </c>
    </row>
    <row r="7" spans="1:2" x14ac:dyDescent="0.3">
      <c r="A7" s="4" t="s">
        <v>15</v>
      </c>
      <c r="B7" s="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4"/>
  <sheetViews>
    <sheetView topLeftCell="A7" workbookViewId="0">
      <selection activeCell="F2" sqref="F2:J34"/>
    </sheetView>
  </sheetViews>
  <sheetFormatPr baseColWidth="10" defaultRowHeight="14.4" x14ac:dyDescent="0.3"/>
  <cols>
    <col min="7" max="7" width="20.109375" customWidth="1"/>
    <col min="13" max="13" width="19.6640625" customWidth="1"/>
    <col min="19" max="19" width="21.44140625" customWidth="1"/>
  </cols>
  <sheetData>
    <row r="1" spans="1:22" x14ac:dyDescent="0.3">
      <c r="A1" s="5" t="s">
        <v>5</v>
      </c>
      <c r="B1" s="5" t="s">
        <v>6</v>
      </c>
      <c r="C1" s="5" t="s">
        <v>7</v>
      </c>
    </row>
    <row r="2" spans="1:22" x14ac:dyDescent="0.3">
      <c r="A2" s="5">
        <v>4</v>
      </c>
      <c r="B2" s="5">
        <v>6</v>
      </c>
      <c r="C2" s="5">
        <v>4</v>
      </c>
      <c r="F2" s="6" t="s">
        <v>5</v>
      </c>
      <c r="L2" s="6" t="s">
        <v>6</v>
      </c>
      <c r="R2" s="6" t="s">
        <v>7</v>
      </c>
    </row>
    <row r="3" spans="1:22" x14ac:dyDescent="0.3">
      <c r="A3" s="5">
        <v>8</v>
      </c>
      <c r="B3" s="5">
        <v>3</v>
      </c>
      <c r="C3" s="5">
        <v>11</v>
      </c>
      <c r="F3" s="5" t="s">
        <v>16</v>
      </c>
      <c r="G3" s="5" t="s">
        <v>20</v>
      </c>
      <c r="H3" s="5" t="s">
        <v>17</v>
      </c>
      <c r="I3" s="5" t="s">
        <v>18</v>
      </c>
      <c r="J3" s="5" t="s">
        <v>19</v>
      </c>
      <c r="L3" s="5" t="s">
        <v>16</v>
      </c>
      <c r="M3" s="5" t="s">
        <v>20</v>
      </c>
      <c r="N3" s="5" t="s">
        <v>17</v>
      </c>
      <c r="O3" s="5" t="s">
        <v>18</v>
      </c>
      <c r="P3" s="5" t="s">
        <v>19</v>
      </c>
      <c r="R3" s="5" t="s">
        <v>16</v>
      </c>
      <c r="S3" s="5" t="s">
        <v>20</v>
      </c>
      <c r="T3" s="5" t="s">
        <v>17</v>
      </c>
      <c r="U3" s="5" t="s">
        <v>18</v>
      </c>
      <c r="V3" s="5" t="s">
        <v>19</v>
      </c>
    </row>
    <row r="4" spans="1:22" x14ac:dyDescent="0.3">
      <c r="A4" s="5">
        <v>3</v>
      </c>
      <c r="B4" s="5">
        <v>2</v>
      </c>
      <c r="C4" s="5">
        <v>5</v>
      </c>
      <c r="F4" s="4">
        <v>1</v>
      </c>
      <c r="G4" s="4">
        <v>4</v>
      </c>
      <c r="H4" s="4">
        <f>G4/G$34</f>
        <v>2.1739130434782608E-2</v>
      </c>
      <c r="I4" s="4">
        <f>G4</f>
        <v>4</v>
      </c>
      <c r="J4" s="4">
        <f>H4</f>
        <v>2.1739130434782608E-2</v>
      </c>
      <c r="L4" s="4">
        <v>1</v>
      </c>
      <c r="M4" s="4">
        <v>6</v>
      </c>
      <c r="N4" s="4">
        <f>M4/M$34</f>
        <v>3.5087719298245612E-2</v>
      </c>
      <c r="O4" s="4">
        <f>M4</f>
        <v>6</v>
      </c>
      <c r="P4" s="4">
        <f>N4</f>
        <v>3.5087719298245612E-2</v>
      </c>
      <c r="R4" s="4">
        <v>1</v>
      </c>
      <c r="S4" s="4">
        <v>4</v>
      </c>
      <c r="T4" s="4">
        <f>S4/S$34</f>
        <v>1.3071895424836602E-2</v>
      </c>
      <c r="U4" s="4">
        <f>S4</f>
        <v>4</v>
      </c>
      <c r="V4" s="4">
        <f>T4</f>
        <v>1.3071895424836602E-2</v>
      </c>
    </row>
    <row r="5" spans="1:22" x14ac:dyDescent="0.3">
      <c r="A5" s="5">
        <v>10</v>
      </c>
      <c r="B5" s="5">
        <v>6</v>
      </c>
      <c r="C5" s="5">
        <v>12</v>
      </c>
      <c r="F5" s="4">
        <f>F4+1</f>
        <v>2</v>
      </c>
      <c r="G5" s="4">
        <v>8</v>
      </c>
      <c r="H5" s="4">
        <f t="shared" ref="H5:H33" si="0">G5/G$34</f>
        <v>4.3478260869565216E-2</v>
      </c>
      <c r="I5" s="4">
        <f>G5+I4</f>
        <v>12</v>
      </c>
      <c r="J5" s="4">
        <f>H5+J4</f>
        <v>6.5217391304347824E-2</v>
      </c>
      <c r="L5" s="4">
        <f>L4+1</f>
        <v>2</v>
      </c>
      <c r="M5" s="4">
        <v>3</v>
      </c>
      <c r="N5" s="4">
        <f t="shared" ref="N5:N33" si="1">M5/M$34</f>
        <v>1.7543859649122806E-2</v>
      </c>
      <c r="O5" s="4">
        <f>M5+O4</f>
        <v>9</v>
      </c>
      <c r="P5" s="4">
        <f>N5+P4</f>
        <v>5.2631578947368418E-2</v>
      </c>
      <c r="R5" s="4">
        <f>R4+1</f>
        <v>2</v>
      </c>
      <c r="S5" s="4">
        <v>11</v>
      </c>
      <c r="T5" s="4">
        <f t="shared" ref="T5:T33" si="2">S5/S$34</f>
        <v>3.5947712418300651E-2</v>
      </c>
      <c r="U5" s="4">
        <f>S5+U4</f>
        <v>15</v>
      </c>
      <c r="V5" s="4">
        <f>T5+V4</f>
        <v>4.9019607843137254E-2</v>
      </c>
    </row>
    <row r="6" spans="1:22" x14ac:dyDescent="0.3">
      <c r="A6" s="5">
        <v>4</v>
      </c>
      <c r="B6" s="5">
        <v>4</v>
      </c>
      <c r="C6" s="5">
        <v>6</v>
      </c>
      <c r="F6" s="4">
        <f t="shared" ref="F6:F33" si="3">F5+1</f>
        <v>3</v>
      </c>
      <c r="G6" s="4">
        <v>3</v>
      </c>
      <c r="H6" s="4">
        <f t="shared" si="0"/>
        <v>1.6304347826086956E-2</v>
      </c>
      <c r="I6" s="4">
        <f t="shared" ref="I6:I33" si="4">G6+I5</f>
        <v>15</v>
      </c>
      <c r="J6" s="4">
        <f t="shared" ref="J6:J33" si="5">H6+J5</f>
        <v>8.1521739130434784E-2</v>
      </c>
      <c r="L6" s="4">
        <f t="shared" ref="L6:L33" si="6">L5+1</f>
        <v>3</v>
      </c>
      <c r="M6" s="4">
        <v>2</v>
      </c>
      <c r="N6" s="4">
        <f t="shared" si="1"/>
        <v>1.1695906432748537E-2</v>
      </c>
      <c r="O6" s="4">
        <f t="shared" ref="O6:O33" si="7">M6+O5</f>
        <v>11</v>
      </c>
      <c r="P6" s="4">
        <f t="shared" ref="P6:P33" si="8">N6+P5</f>
        <v>6.4327485380116955E-2</v>
      </c>
      <c r="R6" s="4">
        <f t="shared" ref="R6:R33" si="9">R5+1</f>
        <v>3</v>
      </c>
      <c r="S6" s="4">
        <v>5</v>
      </c>
      <c r="T6" s="4">
        <f t="shared" si="2"/>
        <v>1.6339869281045753E-2</v>
      </c>
      <c r="U6" s="4">
        <f t="shared" ref="U6:U33" si="10">S6+U5</f>
        <v>20</v>
      </c>
      <c r="V6" s="4">
        <f t="shared" ref="V6:V33" si="11">T6+V5</f>
        <v>6.535947712418301E-2</v>
      </c>
    </row>
    <row r="7" spans="1:22" x14ac:dyDescent="0.3">
      <c r="A7" s="5">
        <v>6</v>
      </c>
      <c r="B7" s="5">
        <v>6</v>
      </c>
      <c r="C7" s="5">
        <v>9</v>
      </c>
      <c r="F7" s="4">
        <f t="shared" si="3"/>
        <v>4</v>
      </c>
      <c r="G7" s="4">
        <v>10</v>
      </c>
      <c r="H7" s="4">
        <f t="shared" si="0"/>
        <v>5.434782608695652E-2</v>
      </c>
      <c r="I7" s="4">
        <f t="shared" si="4"/>
        <v>25</v>
      </c>
      <c r="J7" s="4">
        <f t="shared" si="5"/>
        <v>0.1358695652173913</v>
      </c>
      <c r="L7" s="4">
        <f t="shared" si="6"/>
        <v>4</v>
      </c>
      <c r="M7" s="4">
        <v>6</v>
      </c>
      <c r="N7" s="4">
        <f t="shared" si="1"/>
        <v>3.5087719298245612E-2</v>
      </c>
      <c r="O7" s="4">
        <f t="shared" si="7"/>
        <v>17</v>
      </c>
      <c r="P7" s="4">
        <f t="shared" si="8"/>
        <v>9.9415204678362568E-2</v>
      </c>
      <c r="R7" s="4">
        <f t="shared" si="9"/>
        <v>4</v>
      </c>
      <c r="S7" s="4">
        <v>12</v>
      </c>
      <c r="T7" s="4">
        <f t="shared" si="2"/>
        <v>3.9215686274509803E-2</v>
      </c>
      <c r="U7" s="4">
        <f t="shared" si="10"/>
        <v>32</v>
      </c>
      <c r="V7" s="4">
        <f t="shared" si="11"/>
        <v>0.10457516339869281</v>
      </c>
    </row>
    <row r="8" spans="1:22" x14ac:dyDescent="0.3">
      <c r="A8" s="5">
        <v>3</v>
      </c>
      <c r="B8" s="5">
        <v>5</v>
      </c>
      <c r="C8" s="5">
        <v>9</v>
      </c>
      <c r="F8" s="4">
        <f t="shared" si="3"/>
        <v>5</v>
      </c>
      <c r="G8" s="4">
        <v>4</v>
      </c>
      <c r="H8" s="4">
        <f t="shared" si="0"/>
        <v>2.1739130434782608E-2</v>
      </c>
      <c r="I8" s="4">
        <f t="shared" si="4"/>
        <v>29</v>
      </c>
      <c r="J8" s="4">
        <f t="shared" si="5"/>
        <v>0.15760869565217389</v>
      </c>
      <c r="L8" s="4">
        <f t="shared" si="6"/>
        <v>5</v>
      </c>
      <c r="M8" s="4">
        <v>4</v>
      </c>
      <c r="N8" s="4">
        <f t="shared" si="1"/>
        <v>2.3391812865497075E-2</v>
      </c>
      <c r="O8" s="4">
        <f t="shared" si="7"/>
        <v>21</v>
      </c>
      <c r="P8" s="4">
        <f t="shared" si="8"/>
        <v>0.12280701754385964</v>
      </c>
      <c r="R8" s="4">
        <f t="shared" si="9"/>
        <v>5</v>
      </c>
      <c r="S8" s="4">
        <v>6</v>
      </c>
      <c r="T8" s="4">
        <f t="shared" si="2"/>
        <v>1.9607843137254902E-2</v>
      </c>
      <c r="U8" s="4">
        <f t="shared" si="10"/>
        <v>38</v>
      </c>
      <c r="V8" s="4">
        <f t="shared" si="11"/>
        <v>0.12418300653594772</v>
      </c>
    </row>
    <row r="9" spans="1:22" x14ac:dyDescent="0.3">
      <c r="A9" s="5">
        <v>4</v>
      </c>
      <c r="B9" s="5">
        <v>5</v>
      </c>
      <c r="C9" s="5">
        <v>14</v>
      </c>
      <c r="F9" s="4">
        <f t="shared" si="3"/>
        <v>6</v>
      </c>
      <c r="G9" s="4">
        <v>6</v>
      </c>
      <c r="H9" s="4">
        <f t="shared" si="0"/>
        <v>3.2608695652173912E-2</v>
      </c>
      <c r="I9" s="4">
        <f t="shared" si="4"/>
        <v>35</v>
      </c>
      <c r="J9" s="4">
        <f t="shared" si="5"/>
        <v>0.19021739130434781</v>
      </c>
      <c r="L9" s="4">
        <f t="shared" si="6"/>
        <v>6</v>
      </c>
      <c r="M9" s="4">
        <v>6</v>
      </c>
      <c r="N9" s="4">
        <f t="shared" si="1"/>
        <v>3.5087719298245612E-2</v>
      </c>
      <c r="O9" s="4">
        <f t="shared" si="7"/>
        <v>27</v>
      </c>
      <c r="P9" s="4">
        <f t="shared" si="8"/>
        <v>0.15789473684210525</v>
      </c>
      <c r="R9" s="4">
        <f t="shared" si="9"/>
        <v>6</v>
      </c>
      <c r="S9" s="4">
        <v>9</v>
      </c>
      <c r="T9" s="4">
        <f t="shared" si="2"/>
        <v>2.9411764705882353E-2</v>
      </c>
      <c r="U9" s="4">
        <f t="shared" si="10"/>
        <v>47</v>
      </c>
      <c r="V9" s="4">
        <f t="shared" si="11"/>
        <v>0.15359477124183007</v>
      </c>
    </row>
    <row r="10" spans="1:22" x14ac:dyDescent="0.3">
      <c r="A10" s="5">
        <v>5</v>
      </c>
      <c r="B10" s="5">
        <v>7</v>
      </c>
      <c r="C10" s="5">
        <v>8</v>
      </c>
      <c r="F10" s="4">
        <f t="shared" si="3"/>
        <v>7</v>
      </c>
      <c r="G10" s="4">
        <v>3</v>
      </c>
      <c r="H10" s="4">
        <f t="shared" si="0"/>
        <v>1.6304347826086956E-2</v>
      </c>
      <c r="I10" s="4">
        <f t="shared" si="4"/>
        <v>38</v>
      </c>
      <c r="J10" s="4">
        <f t="shared" si="5"/>
        <v>0.20652173913043476</v>
      </c>
      <c r="L10" s="4">
        <f t="shared" si="6"/>
        <v>7</v>
      </c>
      <c r="M10" s="4">
        <v>5</v>
      </c>
      <c r="N10" s="4">
        <f t="shared" si="1"/>
        <v>2.9239766081871343E-2</v>
      </c>
      <c r="O10" s="4">
        <f t="shared" si="7"/>
        <v>32</v>
      </c>
      <c r="P10" s="4">
        <f t="shared" si="8"/>
        <v>0.1871345029239766</v>
      </c>
      <c r="R10" s="4">
        <f t="shared" si="9"/>
        <v>7</v>
      </c>
      <c r="S10" s="4">
        <v>9</v>
      </c>
      <c r="T10" s="4">
        <f t="shared" si="2"/>
        <v>2.9411764705882353E-2</v>
      </c>
      <c r="U10" s="4">
        <f t="shared" si="10"/>
        <v>56</v>
      </c>
      <c r="V10" s="4">
        <f t="shared" si="11"/>
        <v>0.18300653594771243</v>
      </c>
    </row>
    <row r="11" spans="1:22" x14ac:dyDescent="0.3">
      <c r="A11" s="5">
        <v>6</v>
      </c>
      <c r="B11" s="5">
        <v>9</v>
      </c>
      <c r="C11" s="5">
        <v>12</v>
      </c>
      <c r="F11" s="4">
        <f t="shared" si="3"/>
        <v>8</v>
      </c>
      <c r="G11" s="4">
        <v>4</v>
      </c>
      <c r="H11" s="4">
        <f t="shared" si="0"/>
        <v>2.1739130434782608E-2</v>
      </c>
      <c r="I11" s="4">
        <f t="shared" si="4"/>
        <v>42</v>
      </c>
      <c r="J11" s="4">
        <f t="shared" si="5"/>
        <v>0.22826086956521735</v>
      </c>
      <c r="L11" s="4">
        <f t="shared" si="6"/>
        <v>8</v>
      </c>
      <c r="M11" s="4">
        <v>5</v>
      </c>
      <c r="N11" s="4">
        <f t="shared" si="1"/>
        <v>2.9239766081871343E-2</v>
      </c>
      <c r="O11" s="4">
        <f t="shared" si="7"/>
        <v>37</v>
      </c>
      <c r="P11" s="4">
        <f t="shared" si="8"/>
        <v>0.21637426900584794</v>
      </c>
      <c r="R11" s="4">
        <f t="shared" si="9"/>
        <v>8</v>
      </c>
      <c r="S11" s="4">
        <v>14</v>
      </c>
      <c r="T11" s="4">
        <f t="shared" si="2"/>
        <v>4.5751633986928102E-2</v>
      </c>
      <c r="U11" s="4">
        <f t="shared" si="10"/>
        <v>70</v>
      </c>
      <c r="V11" s="4">
        <f t="shared" si="11"/>
        <v>0.22875816993464054</v>
      </c>
    </row>
    <row r="12" spans="1:22" x14ac:dyDescent="0.3">
      <c r="A12" s="5">
        <v>10</v>
      </c>
      <c r="B12" s="5">
        <v>8</v>
      </c>
      <c r="C12" s="5">
        <v>10</v>
      </c>
      <c r="F12" s="4">
        <f t="shared" si="3"/>
        <v>9</v>
      </c>
      <c r="G12" s="4">
        <v>5</v>
      </c>
      <c r="H12" s="4">
        <f t="shared" si="0"/>
        <v>2.717391304347826E-2</v>
      </c>
      <c r="I12" s="4">
        <f t="shared" si="4"/>
        <v>47</v>
      </c>
      <c r="J12" s="4">
        <f t="shared" si="5"/>
        <v>0.25543478260869562</v>
      </c>
      <c r="L12" s="4">
        <f t="shared" si="6"/>
        <v>9</v>
      </c>
      <c r="M12" s="4">
        <v>7</v>
      </c>
      <c r="N12" s="4">
        <f t="shared" si="1"/>
        <v>4.0935672514619881E-2</v>
      </c>
      <c r="O12" s="4">
        <f t="shared" si="7"/>
        <v>44</v>
      </c>
      <c r="P12" s="4">
        <f t="shared" si="8"/>
        <v>0.25730994152046782</v>
      </c>
      <c r="R12" s="4">
        <f t="shared" si="9"/>
        <v>9</v>
      </c>
      <c r="S12" s="4">
        <v>8</v>
      </c>
      <c r="T12" s="4">
        <f t="shared" si="2"/>
        <v>2.6143790849673203E-2</v>
      </c>
      <c r="U12" s="4">
        <f t="shared" si="10"/>
        <v>78</v>
      </c>
      <c r="V12" s="4">
        <f t="shared" si="11"/>
        <v>0.25490196078431376</v>
      </c>
    </row>
    <row r="13" spans="1:22" x14ac:dyDescent="0.3">
      <c r="A13" s="5">
        <v>5</v>
      </c>
      <c r="B13" s="5">
        <v>8</v>
      </c>
      <c r="C13" s="5">
        <v>9</v>
      </c>
      <c r="F13" s="4">
        <f t="shared" si="3"/>
        <v>10</v>
      </c>
      <c r="G13" s="4">
        <v>6</v>
      </c>
      <c r="H13" s="4">
        <f t="shared" si="0"/>
        <v>3.2608695652173912E-2</v>
      </c>
      <c r="I13" s="4">
        <f t="shared" si="4"/>
        <v>53</v>
      </c>
      <c r="J13" s="4">
        <f t="shared" si="5"/>
        <v>0.28804347826086951</v>
      </c>
      <c r="L13" s="4">
        <f t="shared" si="6"/>
        <v>10</v>
      </c>
      <c r="M13" s="4">
        <v>9</v>
      </c>
      <c r="N13" s="4">
        <f t="shared" si="1"/>
        <v>5.2631578947368418E-2</v>
      </c>
      <c r="O13" s="4">
        <f t="shared" si="7"/>
        <v>53</v>
      </c>
      <c r="P13" s="4">
        <f t="shared" si="8"/>
        <v>0.30994152046783624</v>
      </c>
      <c r="R13" s="4">
        <f t="shared" si="9"/>
        <v>10</v>
      </c>
      <c r="S13" s="4">
        <v>12</v>
      </c>
      <c r="T13" s="4">
        <f t="shared" si="2"/>
        <v>3.9215686274509803E-2</v>
      </c>
      <c r="U13" s="4">
        <f t="shared" si="10"/>
        <v>90</v>
      </c>
      <c r="V13" s="4">
        <f t="shared" si="11"/>
        <v>0.29411764705882359</v>
      </c>
    </row>
    <row r="14" spans="1:22" x14ac:dyDescent="0.3">
      <c r="A14" s="5">
        <v>4</v>
      </c>
      <c r="B14" s="5">
        <v>5</v>
      </c>
      <c r="C14" s="5">
        <v>12</v>
      </c>
      <c r="F14" s="4">
        <f t="shared" si="3"/>
        <v>11</v>
      </c>
      <c r="G14" s="4">
        <v>10</v>
      </c>
      <c r="H14" s="4">
        <f t="shared" si="0"/>
        <v>5.434782608695652E-2</v>
      </c>
      <c r="I14" s="4">
        <f t="shared" si="4"/>
        <v>63</v>
      </c>
      <c r="J14" s="4">
        <f t="shared" si="5"/>
        <v>0.34239130434782605</v>
      </c>
      <c r="L14" s="4">
        <f t="shared" si="6"/>
        <v>11</v>
      </c>
      <c r="M14" s="4">
        <v>8</v>
      </c>
      <c r="N14" s="4">
        <f t="shared" si="1"/>
        <v>4.6783625730994149E-2</v>
      </c>
      <c r="O14" s="4">
        <f t="shared" si="7"/>
        <v>61</v>
      </c>
      <c r="P14" s="4">
        <f t="shared" si="8"/>
        <v>0.35672514619883039</v>
      </c>
      <c r="R14" s="4">
        <f t="shared" si="9"/>
        <v>11</v>
      </c>
      <c r="S14" s="4">
        <v>10</v>
      </c>
      <c r="T14" s="4">
        <f t="shared" si="2"/>
        <v>3.2679738562091505E-2</v>
      </c>
      <c r="U14" s="4">
        <f t="shared" si="10"/>
        <v>100</v>
      </c>
      <c r="V14" s="4">
        <f t="shared" si="11"/>
        <v>0.32679738562091509</v>
      </c>
    </row>
    <row r="15" spans="1:22" x14ac:dyDescent="0.3">
      <c r="A15" s="5">
        <v>7</v>
      </c>
      <c r="B15" s="5">
        <v>6</v>
      </c>
      <c r="C15" s="5">
        <v>11</v>
      </c>
      <c r="F15" s="4">
        <f t="shared" si="3"/>
        <v>12</v>
      </c>
      <c r="G15" s="4">
        <v>5</v>
      </c>
      <c r="H15" s="4">
        <f t="shared" si="0"/>
        <v>2.717391304347826E-2</v>
      </c>
      <c r="I15" s="4">
        <f t="shared" si="4"/>
        <v>68</v>
      </c>
      <c r="J15" s="4">
        <f t="shared" si="5"/>
        <v>0.36956521739130432</v>
      </c>
      <c r="L15" s="4">
        <f t="shared" si="6"/>
        <v>12</v>
      </c>
      <c r="M15" s="4">
        <v>8</v>
      </c>
      <c r="N15" s="4">
        <f t="shared" si="1"/>
        <v>4.6783625730994149E-2</v>
      </c>
      <c r="O15" s="4">
        <f t="shared" si="7"/>
        <v>69</v>
      </c>
      <c r="P15" s="4">
        <f t="shared" si="8"/>
        <v>0.40350877192982454</v>
      </c>
      <c r="R15" s="4">
        <f t="shared" si="9"/>
        <v>12</v>
      </c>
      <c r="S15" s="4">
        <v>9</v>
      </c>
      <c r="T15" s="4">
        <f t="shared" si="2"/>
        <v>2.9411764705882353E-2</v>
      </c>
      <c r="U15" s="4">
        <f t="shared" si="10"/>
        <v>109</v>
      </c>
      <c r="V15" s="4">
        <f t="shared" si="11"/>
        <v>0.35620915032679745</v>
      </c>
    </row>
    <row r="16" spans="1:22" x14ac:dyDescent="0.3">
      <c r="A16" s="5">
        <v>8</v>
      </c>
      <c r="B16" s="5">
        <v>6</v>
      </c>
      <c r="C16" s="5">
        <v>11</v>
      </c>
      <c r="F16" s="4">
        <f t="shared" si="3"/>
        <v>13</v>
      </c>
      <c r="G16" s="4">
        <v>4</v>
      </c>
      <c r="H16" s="4">
        <f t="shared" si="0"/>
        <v>2.1739130434782608E-2</v>
      </c>
      <c r="I16" s="4">
        <f t="shared" si="4"/>
        <v>72</v>
      </c>
      <c r="J16" s="4">
        <f t="shared" si="5"/>
        <v>0.39130434782608692</v>
      </c>
      <c r="L16" s="4">
        <f t="shared" si="6"/>
        <v>13</v>
      </c>
      <c r="M16" s="4">
        <v>5</v>
      </c>
      <c r="N16" s="4">
        <f t="shared" si="1"/>
        <v>2.9239766081871343E-2</v>
      </c>
      <c r="O16" s="4">
        <f t="shared" si="7"/>
        <v>74</v>
      </c>
      <c r="P16" s="4">
        <f t="shared" si="8"/>
        <v>0.43274853801169588</v>
      </c>
      <c r="R16" s="4">
        <f t="shared" si="9"/>
        <v>13</v>
      </c>
      <c r="S16" s="4">
        <v>12</v>
      </c>
      <c r="T16" s="4">
        <f t="shared" si="2"/>
        <v>3.9215686274509803E-2</v>
      </c>
      <c r="U16" s="4">
        <f t="shared" si="10"/>
        <v>121</v>
      </c>
      <c r="V16" s="4">
        <f t="shared" si="11"/>
        <v>0.39542483660130723</v>
      </c>
    </row>
    <row r="17" spans="1:22" x14ac:dyDescent="0.3">
      <c r="A17" s="5">
        <v>6</v>
      </c>
      <c r="B17" s="5">
        <v>7</v>
      </c>
      <c r="C17" s="5">
        <v>13</v>
      </c>
      <c r="F17" s="4">
        <f t="shared" si="3"/>
        <v>14</v>
      </c>
      <c r="G17" s="4">
        <v>7</v>
      </c>
      <c r="H17" s="4">
        <f t="shared" si="0"/>
        <v>3.8043478260869568E-2</v>
      </c>
      <c r="I17" s="4">
        <f t="shared" si="4"/>
        <v>79</v>
      </c>
      <c r="J17" s="4">
        <f t="shared" si="5"/>
        <v>0.42934782608695649</v>
      </c>
      <c r="L17" s="4">
        <f t="shared" si="6"/>
        <v>14</v>
      </c>
      <c r="M17" s="4">
        <v>6</v>
      </c>
      <c r="N17" s="4">
        <f t="shared" si="1"/>
        <v>3.5087719298245612E-2</v>
      </c>
      <c r="O17" s="4">
        <f t="shared" si="7"/>
        <v>80</v>
      </c>
      <c r="P17" s="4">
        <f t="shared" si="8"/>
        <v>0.46783625730994149</v>
      </c>
      <c r="R17" s="4">
        <f t="shared" si="9"/>
        <v>14</v>
      </c>
      <c r="S17" s="4">
        <v>11</v>
      </c>
      <c r="T17" s="4">
        <f t="shared" si="2"/>
        <v>3.5947712418300651E-2</v>
      </c>
      <c r="U17" s="4">
        <f t="shared" si="10"/>
        <v>132</v>
      </c>
      <c r="V17" s="4">
        <f t="shared" si="11"/>
        <v>0.43137254901960786</v>
      </c>
    </row>
    <row r="18" spans="1:22" x14ac:dyDescent="0.3">
      <c r="A18" s="5">
        <v>10</v>
      </c>
      <c r="B18" s="5">
        <v>4</v>
      </c>
      <c r="C18" s="5">
        <v>12</v>
      </c>
      <c r="F18" s="4">
        <f t="shared" si="3"/>
        <v>15</v>
      </c>
      <c r="G18" s="4">
        <v>8</v>
      </c>
      <c r="H18" s="4">
        <f t="shared" si="0"/>
        <v>4.3478260869565216E-2</v>
      </c>
      <c r="I18" s="4">
        <f t="shared" si="4"/>
        <v>87</v>
      </c>
      <c r="J18" s="4">
        <f t="shared" si="5"/>
        <v>0.47282608695652173</v>
      </c>
      <c r="L18" s="4">
        <f t="shared" si="6"/>
        <v>15</v>
      </c>
      <c r="M18" s="4">
        <v>6</v>
      </c>
      <c r="N18" s="4">
        <f t="shared" si="1"/>
        <v>3.5087719298245612E-2</v>
      </c>
      <c r="O18" s="4">
        <f t="shared" si="7"/>
        <v>86</v>
      </c>
      <c r="P18" s="4">
        <f t="shared" si="8"/>
        <v>0.50292397660818711</v>
      </c>
      <c r="R18" s="4">
        <f t="shared" si="9"/>
        <v>15</v>
      </c>
      <c r="S18" s="4">
        <v>11</v>
      </c>
      <c r="T18" s="4">
        <f t="shared" si="2"/>
        <v>3.5947712418300651E-2</v>
      </c>
      <c r="U18" s="4">
        <f t="shared" si="10"/>
        <v>143</v>
      </c>
      <c r="V18" s="4">
        <f t="shared" si="11"/>
        <v>0.4673202614379085</v>
      </c>
    </row>
    <row r="19" spans="1:22" x14ac:dyDescent="0.3">
      <c r="A19" s="5">
        <v>6</v>
      </c>
      <c r="B19" s="5">
        <v>6</v>
      </c>
      <c r="C19" s="5">
        <v>12</v>
      </c>
      <c r="F19" s="4">
        <f t="shared" si="3"/>
        <v>16</v>
      </c>
      <c r="G19" s="4">
        <v>6</v>
      </c>
      <c r="H19" s="4">
        <f t="shared" si="0"/>
        <v>3.2608695652173912E-2</v>
      </c>
      <c r="I19" s="4">
        <f t="shared" si="4"/>
        <v>93</v>
      </c>
      <c r="J19" s="4">
        <f t="shared" si="5"/>
        <v>0.50543478260869568</v>
      </c>
      <c r="L19" s="4">
        <f t="shared" si="6"/>
        <v>16</v>
      </c>
      <c r="M19" s="4">
        <v>7</v>
      </c>
      <c r="N19" s="4">
        <f t="shared" si="1"/>
        <v>4.0935672514619881E-2</v>
      </c>
      <c r="O19" s="4">
        <f t="shared" si="7"/>
        <v>93</v>
      </c>
      <c r="P19" s="4">
        <f t="shared" si="8"/>
        <v>0.54385964912280693</v>
      </c>
      <c r="R19" s="4">
        <f t="shared" si="9"/>
        <v>16</v>
      </c>
      <c r="S19" s="4">
        <v>13</v>
      </c>
      <c r="T19" s="4">
        <f t="shared" si="2"/>
        <v>4.2483660130718956E-2</v>
      </c>
      <c r="U19" s="4">
        <f t="shared" si="10"/>
        <v>156</v>
      </c>
      <c r="V19" s="4">
        <f t="shared" si="11"/>
        <v>0.50980392156862742</v>
      </c>
    </row>
    <row r="20" spans="1:22" x14ac:dyDescent="0.3">
      <c r="A20" s="5">
        <v>3</v>
      </c>
      <c r="B20" s="5">
        <v>6</v>
      </c>
      <c r="C20" s="5">
        <v>10</v>
      </c>
      <c r="F20" s="4">
        <f t="shared" si="3"/>
        <v>17</v>
      </c>
      <c r="G20" s="4">
        <v>10</v>
      </c>
      <c r="H20" s="4">
        <f t="shared" si="0"/>
        <v>5.434782608695652E-2</v>
      </c>
      <c r="I20" s="4">
        <f t="shared" si="4"/>
        <v>103</v>
      </c>
      <c r="J20" s="4">
        <f t="shared" si="5"/>
        <v>0.55978260869565222</v>
      </c>
      <c r="L20" s="4">
        <f t="shared" si="6"/>
        <v>17</v>
      </c>
      <c r="M20" s="4">
        <v>4</v>
      </c>
      <c r="N20" s="4">
        <f t="shared" si="1"/>
        <v>2.3391812865497075E-2</v>
      </c>
      <c r="O20" s="4">
        <f t="shared" si="7"/>
        <v>97</v>
      </c>
      <c r="P20" s="4">
        <f t="shared" si="8"/>
        <v>0.56725146198830401</v>
      </c>
      <c r="R20" s="4">
        <f t="shared" si="9"/>
        <v>17</v>
      </c>
      <c r="S20" s="4">
        <v>12</v>
      </c>
      <c r="T20" s="4">
        <f t="shared" si="2"/>
        <v>3.9215686274509803E-2</v>
      </c>
      <c r="U20" s="4">
        <f t="shared" si="10"/>
        <v>168</v>
      </c>
      <c r="V20" s="4">
        <f t="shared" si="11"/>
        <v>0.54901960784313719</v>
      </c>
    </row>
    <row r="21" spans="1:22" x14ac:dyDescent="0.3">
      <c r="A21" s="5">
        <v>9</v>
      </c>
      <c r="B21" s="5">
        <v>4</v>
      </c>
      <c r="C21" s="5">
        <v>11</v>
      </c>
      <c r="F21" s="4">
        <f t="shared" si="3"/>
        <v>18</v>
      </c>
      <c r="G21" s="4">
        <v>6</v>
      </c>
      <c r="H21" s="4">
        <f t="shared" si="0"/>
        <v>3.2608695652173912E-2</v>
      </c>
      <c r="I21" s="4">
        <f t="shared" si="4"/>
        <v>109</v>
      </c>
      <c r="J21" s="4">
        <f t="shared" si="5"/>
        <v>0.59239130434782616</v>
      </c>
      <c r="L21" s="4">
        <f t="shared" si="6"/>
        <v>18</v>
      </c>
      <c r="M21" s="4">
        <v>6</v>
      </c>
      <c r="N21" s="4">
        <f t="shared" si="1"/>
        <v>3.5087719298245612E-2</v>
      </c>
      <c r="O21" s="4">
        <f t="shared" si="7"/>
        <v>103</v>
      </c>
      <c r="P21" s="4">
        <f t="shared" si="8"/>
        <v>0.60233918128654962</v>
      </c>
      <c r="R21" s="4">
        <f t="shared" si="9"/>
        <v>18</v>
      </c>
      <c r="S21" s="4">
        <v>12</v>
      </c>
      <c r="T21" s="4">
        <f t="shared" si="2"/>
        <v>3.9215686274509803E-2</v>
      </c>
      <c r="U21" s="4">
        <f t="shared" si="10"/>
        <v>180</v>
      </c>
      <c r="V21" s="4">
        <f t="shared" si="11"/>
        <v>0.58823529411764697</v>
      </c>
    </row>
    <row r="22" spans="1:22" x14ac:dyDescent="0.3">
      <c r="A22" s="5">
        <v>7</v>
      </c>
      <c r="B22" s="5">
        <v>5</v>
      </c>
      <c r="C22" s="5">
        <v>9</v>
      </c>
      <c r="F22" s="4">
        <f t="shared" si="3"/>
        <v>19</v>
      </c>
      <c r="G22" s="4">
        <v>3</v>
      </c>
      <c r="H22" s="4">
        <f t="shared" si="0"/>
        <v>1.6304347826086956E-2</v>
      </c>
      <c r="I22" s="4">
        <f t="shared" si="4"/>
        <v>112</v>
      </c>
      <c r="J22" s="4">
        <f t="shared" si="5"/>
        <v>0.60869565217391308</v>
      </c>
      <c r="L22" s="4">
        <f t="shared" si="6"/>
        <v>19</v>
      </c>
      <c r="M22" s="4">
        <v>6</v>
      </c>
      <c r="N22" s="4">
        <f t="shared" si="1"/>
        <v>3.5087719298245612E-2</v>
      </c>
      <c r="O22" s="4">
        <f t="shared" si="7"/>
        <v>109</v>
      </c>
      <c r="P22" s="4">
        <f t="shared" si="8"/>
        <v>0.63742690058479523</v>
      </c>
      <c r="R22" s="4">
        <f t="shared" si="9"/>
        <v>19</v>
      </c>
      <c r="S22" s="4">
        <v>10</v>
      </c>
      <c r="T22" s="4">
        <f t="shared" si="2"/>
        <v>3.2679738562091505E-2</v>
      </c>
      <c r="U22" s="4">
        <f t="shared" si="10"/>
        <v>190</v>
      </c>
      <c r="V22" s="4">
        <f t="shared" si="11"/>
        <v>0.62091503267973847</v>
      </c>
    </row>
    <row r="23" spans="1:22" x14ac:dyDescent="0.3">
      <c r="A23" s="5">
        <v>7</v>
      </c>
      <c r="B23" s="5">
        <v>7</v>
      </c>
      <c r="C23" s="5">
        <v>13</v>
      </c>
      <c r="F23" s="4">
        <f t="shared" si="3"/>
        <v>20</v>
      </c>
      <c r="G23" s="4">
        <v>9</v>
      </c>
      <c r="H23" s="4">
        <f t="shared" si="0"/>
        <v>4.8913043478260872E-2</v>
      </c>
      <c r="I23" s="4">
        <f t="shared" si="4"/>
        <v>121</v>
      </c>
      <c r="J23" s="4">
        <f t="shared" si="5"/>
        <v>0.65760869565217395</v>
      </c>
      <c r="L23" s="4">
        <f t="shared" si="6"/>
        <v>20</v>
      </c>
      <c r="M23" s="4">
        <v>4</v>
      </c>
      <c r="N23" s="4">
        <f t="shared" si="1"/>
        <v>2.3391812865497075E-2</v>
      </c>
      <c r="O23" s="4">
        <f t="shared" si="7"/>
        <v>113</v>
      </c>
      <c r="P23" s="4">
        <f t="shared" si="8"/>
        <v>0.66081871345029231</v>
      </c>
      <c r="R23" s="4">
        <f t="shared" si="9"/>
        <v>20</v>
      </c>
      <c r="S23" s="4">
        <v>11</v>
      </c>
      <c r="T23" s="4">
        <f t="shared" si="2"/>
        <v>3.5947712418300651E-2</v>
      </c>
      <c r="U23" s="4">
        <f t="shared" si="10"/>
        <v>201</v>
      </c>
      <c r="V23" s="4">
        <f t="shared" si="11"/>
        <v>0.6568627450980391</v>
      </c>
    </row>
    <row r="24" spans="1:22" x14ac:dyDescent="0.3">
      <c r="A24" s="5">
        <v>6</v>
      </c>
      <c r="B24" s="5">
        <v>7</v>
      </c>
      <c r="C24" s="5">
        <v>9</v>
      </c>
      <c r="F24" s="4">
        <f t="shared" si="3"/>
        <v>21</v>
      </c>
      <c r="G24" s="4">
        <v>7</v>
      </c>
      <c r="H24" s="4">
        <f t="shared" si="0"/>
        <v>3.8043478260869568E-2</v>
      </c>
      <c r="I24" s="4">
        <f t="shared" si="4"/>
        <v>128</v>
      </c>
      <c r="J24" s="4">
        <f t="shared" si="5"/>
        <v>0.69565217391304346</v>
      </c>
      <c r="L24" s="4">
        <f t="shared" si="6"/>
        <v>21</v>
      </c>
      <c r="M24" s="4">
        <v>5</v>
      </c>
      <c r="N24" s="4">
        <f t="shared" si="1"/>
        <v>2.9239766081871343E-2</v>
      </c>
      <c r="O24" s="4">
        <f t="shared" si="7"/>
        <v>118</v>
      </c>
      <c r="P24" s="4">
        <f t="shared" si="8"/>
        <v>0.69005847953216359</v>
      </c>
      <c r="R24" s="4">
        <f t="shared" si="9"/>
        <v>21</v>
      </c>
      <c r="S24" s="4">
        <v>9</v>
      </c>
      <c r="T24" s="4">
        <f t="shared" si="2"/>
        <v>2.9411764705882353E-2</v>
      </c>
      <c r="U24" s="4">
        <f t="shared" si="10"/>
        <v>210</v>
      </c>
      <c r="V24" s="4">
        <f t="shared" si="11"/>
        <v>0.68627450980392146</v>
      </c>
    </row>
    <row r="25" spans="1:22" x14ac:dyDescent="0.3">
      <c r="A25" s="5">
        <v>5</v>
      </c>
      <c r="B25" s="5">
        <v>6</v>
      </c>
      <c r="C25" s="5">
        <v>14</v>
      </c>
      <c r="F25" s="4">
        <f t="shared" si="3"/>
        <v>22</v>
      </c>
      <c r="G25" s="4">
        <v>7</v>
      </c>
      <c r="H25" s="4">
        <f t="shared" si="0"/>
        <v>3.8043478260869568E-2</v>
      </c>
      <c r="I25" s="4">
        <f t="shared" si="4"/>
        <v>135</v>
      </c>
      <c r="J25" s="4">
        <f t="shared" si="5"/>
        <v>0.73369565217391308</v>
      </c>
      <c r="L25" s="4">
        <f t="shared" si="6"/>
        <v>22</v>
      </c>
      <c r="M25" s="4">
        <v>7</v>
      </c>
      <c r="N25" s="4">
        <f t="shared" si="1"/>
        <v>4.0935672514619881E-2</v>
      </c>
      <c r="O25" s="4">
        <f t="shared" si="7"/>
        <v>125</v>
      </c>
      <c r="P25" s="4">
        <f t="shared" si="8"/>
        <v>0.73099415204678353</v>
      </c>
      <c r="R25" s="4">
        <f t="shared" si="9"/>
        <v>22</v>
      </c>
      <c r="S25" s="4">
        <v>13</v>
      </c>
      <c r="T25" s="4">
        <f t="shared" si="2"/>
        <v>4.2483660130718956E-2</v>
      </c>
      <c r="U25" s="4">
        <f t="shared" si="10"/>
        <v>223</v>
      </c>
      <c r="V25" s="4">
        <f t="shared" si="11"/>
        <v>0.72875816993464038</v>
      </c>
    </row>
    <row r="26" spans="1:22" x14ac:dyDescent="0.3">
      <c r="A26" s="5">
        <v>6</v>
      </c>
      <c r="B26" s="5">
        <v>4</v>
      </c>
      <c r="C26" s="5">
        <v>10</v>
      </c>
      <c r="F26" s="4">
        <f t="shared" si="3"/>
        <v>23</v>
      </c>
      <c r="G26" s="4">
        <v>6</v>
      </c>
      <c r="H26" s="4">
        <f t="shared" si="0"/>
        <v>3.2608695652173912E-2</v>
      </c>
      <c r="I26" s="4">
        <f t="shared" si="4"/>
        <v>141</v>
      </c>
      <c r="J26" s="4">
        <f t="shared" si="5"/>
        <v>0.76630434782608703</v>
      </c>
      <c r="L26" s="4">
        <f t="shared" si="6"/>
        <v>23</v>
      </c>
      <c r="M26" s="4">
        <v>7</v>
      </c>
      <c r="N26" s="4">
        <f t="shared" si="1"/>
        <v>4.0935672514619881E-2</v>
      </c>
      <c r="O26" s="4">
        <f t="shared" si="7"/>
        <v>132</v>
      </c>
      <c r="P26" s="4">
        <f t="shared" si="8"/>
        <v>0.77192982456140347</v>
      </c>
      <c r="R26" s="4">
        <f t="shared" si="9"/>
        <v>23</v>
      </c>
      <c r="S26" s="4">
        <v>9</v>
      </c>
      <c r="T26" s="4">
        <f t="shared" si="2"/>
        <v>2.9411764705882353E-2</v>
      </c>
      <c r="U26" s="4">
        <f t="shared" si="10"/>
        <v>232</v>
      </c>
      <c r="V26" s="4">
        <f t="shared" si="11"/>
        <v>0.75816993464052274</v>
      </c>
    </row>
    <row r="27" spans="1:22" x14ac:dyDescent="0.3">
      <c r="A27" s="5">
        <v>6</v>
      </c>
      <c r="B27" s="5">
        <v>6</v>
      </c>
      <c r="C27" s="5">
        <v>12</v>
      </c>
      <c r="F27" s="4">
        <f t="shared" si="3"/>
        <v>24</v>
      </c>
      <c r="G27" s="4">
        <v>5</v>
      </c>
      <c r="H27" s="4">
        <f t="shared" si="0"/>
        <v>2.717391304347826E-2</v>
      </c>
      <c r="I27" s="4">
        <f t="shared" si="4"/>
        <v>146</v>
      </c>
      <c r="J27" s="4">
        <f t="shared" si="5"/>
        <v>0.7934782608695653</v>
      </c>
      <c r="L27" s="4">
        <f t="shared" si="6"/>
        <v>24</v>
      </c>
      <c r="M27" s="4">
        <v>6</v>
      </c>
      <c r="N27" s="4">
        <f t="shared" si="1"/>
        <v>3.5087719298245612E-2</v>
      </c>
      <c r="O27" s="4">
        <f t="shared" si="7"/>
        <v>138</v>
      </c>
      <c r="P27" s="4">
        <f t="shared" si="8"/>
        <v>0.80701754385964908</v>
      </c>
      <c r="R27" s="4">
        <f t="shared" si="9"/>
        <v>24</v>
      </c>
      <c r="S27" s="4">
        <v>14</v>
      </c>
      <c r="T27" s="4">
        <f t="shared" si="2"/>
        <v>4.5751633986928102E-2</v>
      </c>
      <c r="U27" s="4">
        <f t="shared" si="10"/>
        <v>246</v>
      </c>
      <c r="V27" s="4">
        <f t="shared" si="11"/>
        <v>0.80392156862745079</v>
      </c>
    </row>
    <row r="28" spans="1:22" x14ac:dyDescent="0.3">
      <c r="A28" s="5">
        <v>5</v>
      </c>
      <c r="B28" s="5">
        <v>6</v>
      </c>
      <c r="C28" s="5">
        <v>8</v>
      </c>
      <c r="F28" s="4">
        <f t="shared" si="3"/>
        <v>25</v>
      </c>
      <c r="G28" s="4">
        <v>6</v>
      </c>
      <c r="H28" s="4">
        <f t="shared" si="0"/>
        <v>3.2608695652173912E-2</v>
      </c>
      <c r="I28" s="4">
        <f t="shared" si="4"/>
        <v>152</v>
      </c>
      <c r="J28" s="4">
        <f t="shared" si="5"/>
        <v>0.82608695652173925</v>
      </c>
      <c r="L28" s="4">
        <f t="shared" si="6"/>
        <v>25</v>
      </c>
      <c r="M28" s="4">
        <v>4</v>
      </c>
      <c r="N28" s="4">
        <f t="shared" si="1"/>
        <v>2.3391812865497075E-2</v>
      </c>
      <c r="O28" s="4">
        <f t="shared" si="7"/>
        <v>142</v>
      </c>
      <c r="P28" s="4">
        <f t="shared" si="8"/>
        <v>0.83040935672514615</v>
      </c>
      <c r="R28" s="4">
        <f t="shared" si="9"/>
        <v>25</v>
      </c>
      <c r="S28" s="4">
        <v>10</v>
      </c>
      <c r="T28" s="4">
        <f t="shared" si="2"/>
        <v>3.2679738562091505E-2</v>
      </c>
      <c r="U28" s="4">
        <f t="shared" si="10"/>
        <v>256</v>
      </c>
      <c r="V28" s="4">
        <f t="shared" si="11"/>
        <v>0.83660130718954229</v>
      </c>
    </row>
    <row r="29" spans="1:22" x14ac:dyDescent="0.3">
      <c r="A29" s="5">
        <v>7</v>
      </c>
      <c r="B29" s="5">
        <v>5</v>
      </c>
      <c r="C29" s="5">
        <v>10</v>
      </c>
      <c r="F29" s="4">
        <f t="shared" si="3"/>
        <v>26</v>
      </c>
      <c r="G29" s="4">
        <v>6</v>
      </c>
      <c r="H29" s="4">
        <f t="shared" si="0"/>
        <v>3.2608695652173912E-2</v>
      </c>
      <c r="I29" s="4">
        <f t="shared" si="4"/>
        <v>158</v>
      </c>
      <c r="J29" s="4">
        <f t="shared" si="5"/>
        <v>0.85869565217391319</v>
      </c>
      <c r="L29" s="4">
        <f t="shared" si="6"/>
        <v>26</v>
      </c>
      <c r="M29" s="4">
        <v>6</v>
      </c>
      <c r="N29" s="4">
        <f t="shared" si="1"/>
        <v>3.5087719298245612E-2</v>
      </c>
      <c r="O29" s="4">
        <f t="shared" si="7"/>
        <v>148</v>
      </c>
      <c r="P29" s="4">
        <f t="shared" si="8"/>
        <v>0.86549707602339176</v>
      </c>
      <c r="R29" s="4">
        <f t="shared" si="9"/>
        <v>26</v>
      </c>
      <c r="S29" s="4">
        <v>12</v>
      </c>
      <c r="T29" s="4">
        <f t="shared" si="2"/>
        <v>3.9215686274509803E-2</v>
      </c>
      <c r="U29" s="4">
        <f t="shared" si="10"/>
        <v>268</v>
      </c>
      <c r="V29" s="4">
        <f t="shared" si="11"/>
        <v>0.87581699346405206</v>
      </c>
    </row>
    <row r="30" spans="1:22" x14ac:dyDescent="0.3">
      <c r="A30" s="5">
        <v>9</v>
      </c>
      <c r="B30" s="5">
        <v>5</v>
      </c>
      <c r="C30" s="5">
        <v>7</v>
      </c>
      <c r="F30" s="4">
        <f t="shared" si="3"/>
        <v>27</v>
      </c>
      <c r="G30" s="4">
        <v>5</v>
      </c>
      <c r="H30" s="4">
        <f t="shared" si="0"/>
        <v>2.717391304347826E-2</v>
      </c>
      <c r="I30" s="4">
        <f t="shared" si="4"/>
        <v>163</v>
      </c>
      <c r="J30" s="4">
        <f t="shared" si="5"/>
        <v>0.88586956521739146</v>
      </c>
      <c r="L30" s="4">
        <f t="shared" si="6"/>
        <v>27</v>
      </c>
      <c r="M30" s="4">
        <v>6</v>
      </c>
      <c r="N30" s="4">
        <f t="shared" si="1"/>
        <v>3.5087719298245612E-2</v>
      </c>
      <c r="O30" s="4">
        <f t="shared" si="7"/>
        <v>154</v>
      </c>
      <c r="P30" s="4">
        <f t="shared" si="8"/>
        <v>0.90058479532163738</v>
      </c>
      <c r="R30" s="4">
        <f t="shared" si="9"/>
        <v>27</v>
      </c>
      <c r="S30" s="4">
        <v>8</v>
      </c>
      <c r="T30" s="4">
        <f t="shared" si="2"/>
        <v>2.6143790849673203E-2</v>
      </c>
      <c r="U30" s="4">
        <f t="shared" si="10"/>
        <v>276</v>
      </c>
      <c r="V30" s="4">
        <f t="shared" si="11"/>
        <v>0.90196078431372528</v>
      </c>
    </row>
    <row r="31" spans="1:22" x14ac:dyDescent="0.3">
      <c r="A31" s="5">
        <v>5</v>
      </c>
      <c r="B31" s="5">
        <v>7</v>
      </c>
      <c r="C31" s="5">
        <v>13</v>
      </c>
      <c r="F31" s="4">
        <f t="shared" si="3"/>
        <v>28</v>
      </c>
      <c r="G31" s="4">
        <v>7</v>
      </c>
      <c r="H31" s="4">
        <f t="shared" si="0"/>
        <v>3.8043478260869568E-2</v>
      </c>
      <c r="I31" s="4">
        <f t="shared" si="4"/>
        <v>170</v>
      </c>
      <c r="J31" s="4">
        <f t="shared" si="5"/>
        <v>0.92391304347826098</v>
      </c>
      <c r="L31" s="4">
        <f t="shared" si="6"/>
        <v>28</v>
      </c>
      <c r="M31" s="4">
        <v>5</v>
      </c>
      <c r="N31" s="4">
        <f t="shared" si="1"/>
        <v>2.9239766081871343E-2</v>
      </c>
      <c r="O31" s="4">
        <f t="shared" si="7"/>
        <v>159</v>
      </c>
      <c r="P31" s="4">
        <f t="shared" si="8"/>
        <v>0.92982456140350878</v>
      </c>
      <c r="R31" s="4">
        <f t="shared" si="9"/>
        <v>28</v>
      </c>
      <c r="S31" s="4">
        <v>10</v>
      </c>
      <c r="T31" s="4">
        <f t="shared" si="2"/>
        <v>3.2679738562091505E-2</v>
      </c>
      <c r="U31" s="4">
        <f t="shared" si="10"/>
        <v>286</v>
      </c>
      <c r="V31" s="4">
        <f t="shared" si="11"/>
        <v>0.93464052287581678</v>
      </c>
    </row>
    <row r="32" spans="1:22" x14ac:dyDescent="0.3">
      <c r="F32" s="4">
        <f t="shared" si="3"/>
        <v>29</v>
      </c>
      <c r="G32" s="4">
        <v>9</v>
      </c>
      <c r="H32" s="4">
        <f t="shared" si="0"/>
        <v>4.8913043478260872E-2</v>
      </c>
      <c r="I32" s="4">
        <f t="shared" si="4"/>
        <v>179</v>
      </c>
      <c r="J32" s="4">
        <f t="shared" si="5"/>
        <v>0.97282608695652184</v>
      </c>
      <c r="L32" s="4">
        <f t="shared" si="6"/>
        <v>29</v>
      </c>
      <c r="M32" s="4">
        <v>5</v>
      </c>
      <c r="N32" s="4">
        <f t="shared" si="1"/>
        <v>2.9239766081871343E-2</v>
      </c>
      <c r="O32" s="4">
        <f t="shared" si="7"/>
        <v>164</v>
      </c>
      <c r="P32" s="4">
        <f t="shared" si="8"/>
        <v>0.95906432748538006</v>
      </c>
      <c r="R32" s="4">
        <f t="shared" si="9"/>
        <v>29</v>
      </c>
      <c r="S32" s="4">
        <v>7</v>
      </c>
      <c r="T32" s="4">
        <f t="shared" si="2"/>
        <v>2.2875816993464051E-2</v>
      </c>
      <c r="U32" s="4">
        <f t="shared" si="10"/>
        <v>293</v>
      </c>
      <c r="V32" s="4">
        <f t="shared" si="11"/>
        <v>0.95751633986928086</v>
      </c>
    </row>
    <row r="33" spans="6:22" ht="15" thickBot="1" x14ac:dyDescent="0.35">
      <c r="F33" s="7">
        <f t="shared" si="3"/>
        <v>30</v>
      </c>
      <c r="G33" s="7">
        <v>5</v>
      </c>
      <c r="H33" s="4">
        <f t="shared" si="0"/>
        <v>2.717391304347826E-2</v>
      </c>
      <c r="I33" s="4">
        <f t="shared" si="4"/>
        <v>184</v>
      </c>
      <c r="J33" s="4">
        <f t="shared" si="5"/>
        <v>1</v>
      </c>
      <c r="L33" s="7">
        <f t="shared" si="6"/>
        <v>30</v>
      </c>
      <c r="M33" s="4">
        <v>7</v>
      </c>
      <c r="N33" s="4">
        <f t="shared" si="1"/>
        <v>4.0935672514619881E-2</v>
      </c>
      <c r="O33" s="4">
        <f t="shared" si="7"/>
        <v>171</v>
      </c>
      <c r="P33" s="4">
        <f t="shared" si="8"/>
        <v>1</v>
      </c>
      <c r="R33" s="7">
        <f t="shared" si="9"/>
        <v>30</v>
      </c>
      <c r="S33" s="4">
        <v>13</v>
      </c>
      <c r="T33" s="4">
        <f t="shared" si="2"/>
        <v>4.2483660130718956E-2</v>
      </c>
      <c r="U33" s="4">
        <f t="shared" si="10"/>
        <v>306</v>
      </c>
      <c r="V33" s="4">
        <f t="shared" si="11"/>
        <v>0.99999999999999978</v>
      </c>
    </row>
    <row r="34" spans="6:22" ht="15" thickBot="1" x14ac:dyDescent="0.35">
      <c r="F34" s="8" t="s">
        <v>21</v>
      </c>
      <c r="G34" s="9">
        <f>SUM(G4:G33)</f>
        <v>184</v>
      </c>
      <c r="H34" s="9">
        <f>SUM(H4:H33)</f>
        <v>1</v>
      </c>
      <c r="L34" s="8" t="s">
        <v>21</v>
      </c>
      <c r="M34" s="9">
        <f>SUM(M4:M33)</f>
        <v>171</v>
      </c>
      <c r="N34" s="9">
        <f>SUM(N4:N33)</f>
        <v>1</v>
      </c>
      <c r="R34" s="8" t="s">
        <v>21</v>
      </c>
      <c r="S34" s="9">
        <f>SUM(S4:S33)</f>
        <v>306</v>
      </c>
      <c r="T34" s="9">
        <f>SUM(T4:T33)</f>
        <v>0.99999999999999978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5222-73BC-4EC7-B1A8-E178E9432918}">
  <dimension ref="C3:H35"/>
  <sheetViews>
    <sheetView tabSelected="1" zoomScale="145" zoomScaleNormal="145" workbookViewId="0">
      <selection activeCell="F16" sqref="F16"/>
    </sheetView>
  </sheetViews>
  <sheetFormatPr baseColWidth="10" defaultRowHeight="14.4" x14ac:dyDescent="0.3"/>
  <cols>
    <col min="3" max="3" width="14.109375" customWidth="1"/>
    <col min="5" max="5" width="19.88671875" customWidth="1"/>
    <col min="10" max="10" width="11.5546875" customWidth="1"/>
  </cols>
  <sheetData>
    <row r="3" spans="3:8" x14ac:dyDescent="0.3">
      <c r="C3" s="6" t="s">
        <v>22</v>
      </c>
      <c r="D3" s="11"/>
    </row>
    <row r="4" spans="3:8" x14ac:dyDescent="0.3">
      <c r="C4" s="5" t="s">
        <v>24</v>
      </c>
      <c r="D4" s="5" t="s">
        <v>23</v>
      </c>
      <c r="E4" s="5" t="s">
        <v>20</v>
      </c>
      <c r="F4" s="5" t="s">
        <v>17</v>
      </c>
      <c r="G4" s="5" t="s">
        <v>18</v>
      </c>
      <c r="H4" s="5" t="s">
        <v>19</v>
      </c>
    </row>
    <row r="5" spans="3:8" x14ac:dyDescent="0.3">
      <c r="C5" s="4"/>
      <c r="D5" s="4">
        <v>85</v>
      </c>
      <c r="E5" s="4">
        <v>3</v>
      </c>
      <c r="F5" s="4">
        <f>E5/E$11</f>
        <v>0.1</v>
      </c>
      <c r="G5" s="4">
        <f>E5</f>
        <v>3</v>
      </c>
      <c r="H5" s="4">
        <f>F5</f>
        <v>0.1</v>
      </c>
    </row>
    <row r="6" spans="3:8" x14ac:dyDescent="0.3">
      <c r="C6" s="4"/>
      <c r="D6" s="4">
        <v>97</v>
      </c>
      <c r="E6" s="4">
        <v>6</v>
      </c>
      <c r="F6" s="4">
        <f t="shared" ref="F6:F10" si="0">E6/E$11</f>
        <v>0.2</v>
      </c>
      <c r="G6" s="4">
        <f>E6+G5</f>
        <v>9</v>
      </c>
      <c r="H6" s="4">
        <f>F6+H5</f>
        <v>0.30000000000000004</v>
      </c>
    </row>
    <row r="7" spans="3:8" x14ac:dyDescent="0.3">
      <c r="C7" s="4"/>
      <c r="D7" s="4">
        <v>109</v>
      </c>
      <c r="E7" s="4">
        <v>8</v>
      </c>
      <c r="F7" s="4">
        <f t="shared" si="0"/>
        <v>0.26666666666666666</v>
      </c>
      <c r="G7" s="4">
        <f t="shared" ref="G7:H34" si="1">E7+G6</f>
        <v>17</v>
      </c>
      <c r="H7" s="4">
        <f t="shared" si="1"/>
        <v>0.56666666666666665</v>
      </c>
    </row>
    <row r="8" spans="3:8" x14ac:dyDescent="0.3">
      <c r="C8" s="4"/>
      <c r="D8" s="4">
        <v>121</v>
      </c>
      <c r="E8" s="4">
        <v>6</v>
      </c>
      <c r="F8" s="4">
        <f t="shared" si="0"/>
        <v>0.2</v>
      </c>
      <c r="G8" s="4">
        <f t="shared" si="1"/>
        <v>23</v>
      </c>
      <c r="H8" s="4">
        <f t="shared" si="1"/>
        <v>0.76666666666666661</v>
      </c>
    </row>
    <row r="9" spans="3:8" x14ac:dyDescent="0.3">
      <c r="C9" s="4"/>
      <c r="D9" s="4">
        <v>133</v>
      </c>
      <c r="E9" s="4">
        <v>3</v>
      </c>
      <c r="F9" s="4">
        <f t="shared" si="0"/>
        <v>0.1</v>
      </c>
      <c r="G9" s="4">
        <f t="shared" si="1"/>
        <v>26</v>
      </c>
      <c r="H9" s="4">
        <f t="shared" si="1"/>
        <v>0.86666666666666659</v>
      </c>
    </row>
    <row r="10" spans="3:8" ht="15" thickBot="1" x14ac:dyDescent="0.35">
      <c r="C10" s="7"/>
      <c r="D10" s="7">
        <v>145</v>
      </c>
      <c r="E10" s="7">
        <v>4</v>
      </c>
      <c r="F10" s="4">
        <f t="shared" si="0"/>
        <v>0.13333333333333333</v>
      </c>
      <c r="G10" s="4">
        <f t="shared" si="1"/>
        <v>30</v>
      </c>
      <c r="H10" s="4">
        <f t="shared" si="1"/>
        <v>0.99999999999999989</v>
      </c>
    </row>
    <row r="11" spans="3:8" ht="15" thickBot="1" x14ac:dyDescent="0.35">
      <c r="C11" s="8" t="s">
        <v>21</v>
      </c>
      <c r="D11" s="12"/>
      <c r="E11" s="9">
        <f>SUM(E5:E10)</f>
        <v>30</v>
      </c>
      <c r="F11" s="10">
        <f>SUM(F5:F10)</f>
        <v>0.99999999999999989</v>
      </c>
      <c r="G11" s="13"/>
      <c r="H11" s="13"/>
    </row>
    <row r="12" spans="3:8" ht="15" thickBot="1" x14ac:dyDescent="0.35">
      <c r="C12" s="13"/>
      <c r="D12" s="13"/>
      <c r="E12" s="13"/>
      <c r="F12" s="13"/>
      <c r="G12" s="13"/>
      <c r="H12" s="13"/>
    </row>
    <row r="13" spans="3:8" ht="15" thickBot="1" x14ac:dyDescent="0.35">
      <c r="C13" s="15" t="s">
        <v>25</v>
      </c>
      <c r="D13" s="16" t="s">
        <v>26</v>
      </c>
      <c r="E13" s="17">
        <f>SQRT(D17)</f>
        <v>18.266985482577294</v>
      </c>
      <c r="F13" s="13"/>
      <c r="G13" s="13"/>
      <c r="H13" s="13"/>
    </row>
    <row r="14" spans="3:8" ht="15" thickBot="1" x14ac:dyDescent="0.35">
      <c r="C14" s="21" t="s">
        <v>27</v>
      </c>
      <c r="D14" s="19" t="s">
        <v>29</v>
      </c>
      <c r="E14" s="17" cm="1">
        <f t="array" ref="E14">(SUM(D5:D10*E5:E10))/E11</f>
        <v>113.8</v>
      </c>
      <c r="F14" s="13"/>
      <c r="G14" s="13"/>
      <c r="H14" s="13"/>
    </row>
    <row r="15" spans="3:8" ht="15" thickBot="1" x14ac:dyDescent="0.35">
      <c r="C15" s="15" t="s">
        <v>28</v>
      </c>
      <c r="D15" s="17">
        <f>D7</f>
        <v>109</v>
      </c>
      <c r="E15" s="13"/>
      <c r="F15" s="13"/>
      <c r="G15" s="13"/>
      <c r="H15" s="13"/>
    </row>
    <row r="16" spans="3:8" ht="15" thickBot="1" x14ac:dyDescent="0.35">
      <c r="C16" s="18" t="s">
        <v>30</v>
      </c>
      <c r="D16" s="20">
        <f>D7</f>
        <v>109</v>
      </c>
      <c r="E16" s="13"/>
      <c r="F16" s="13"/>
      <c r="G16" s="13"/>
      <c r="H16" s="13"/>
    </row>
    <row r="17" spans="3:8" ht="15" thickBot="1" x14ac:dyDescent="0.35">
      <c r="C17" s="15" t="s">
        <v>31</v>
      </c>
      <c r="D17" s="17" cm="1">
        <f t="array" ref="D17">(SUM(((D5:D10-E14)^2)*E5:E10))/(E11-1)</f>
        <v>333.68275862068964</v>
      </c>
      <c r="E17" s="13"/>
      <c r="F17" s="13"/>
      <c r="G17" s="13"/>
      <c r="H17" s="13"/>
    </row>
    <row r="18" spans="3:8" x14ac:dyDescent="0.3">
      <c r="C18" s="13"/>
      <c r="D18" s="13"/>
      <c r="E18" s="13"/>
      <c r="F18" s="13"/>
      <c r="G18" s="13"/>
      <c r="H18" s="13"/>
    </row>
    <row r="19" spans="3:8" x14ac:dyDescent="0.3">
      <c r="C19" s="13"/>
      <c r="D19" s="13"/>
      <c r="E19" s="13"/>
      <c r="F19" s="13"/>
      <c r="G19" s="13"/>
      <c r="H19" s="13"/>
    </row>
    <row r="20" spans="3:8" x14ac:dyDescent="0.3">
      <c r="C20" s="13"/>
      <c r="D20" s="13"/>
      <c r="E20" s="13"/>
      <c r="F20" s="13"/>
      <c r="G20" s="13"/>
      <c r="H20" s="13"/>
    </row>
    <row r="21" spans="3:8" x14ac:dyDescent="0.3">
      <c r="C21" s="13"/>
      <c r="D21" s="13"/>
      <c r="E21" s="13"/>
      <c r="F21" s="13"/>
      <c r="G21" s="13"/>
      <c r="H21" s="13"/>
    </row>
    <row r="22" spans="3:8" x14ac:dyDescent="0.3">
      <c r="C22" s="13"/>
      <c r="D22" s="13"/>
      <c r="E22" s="13"/>
      <c r="F22" s="13"/>
      <c r="G22" s="13"/>
      <c r="H22" s="13"/>
    </row>
    <row r="23" spans="3:8" x14ac:dyDescent="0.3">
      <c r="C23" s="13"/>
      <c r="D23" s="13"/>
      <c r="E23" s="13"/>
      <c r="F23" s="13"/>
      <c r="G23" s="13"/>
      <c r="H23" s="13"/>
    </row>
    <row r="24" spans="3:8" x14ac:dyDescent="0.3">
      <c r="C24" s="13"/>
      <c r="D24" s="13"/>
      <c r="E24" s="13"/>
      <c r="F24" s="13"/>
      <c r="G24" s="13"/>
      <c r="H24" s="13"/>
    </row>
    <row r="25" spans="3:8" x14ac:dyDescent="0.3">
      <c r="C25" s="13"/>
      <c r="D25" s="13"/>
      <c r="E25" s="13"/>
      <c r="F25" s="13"/>
      <c r="G25" s="13"/>
      <c r="H25" s="13"/>
    </row>
    <row r="26" spans="3:8" x14ac:dyDescent="0.3">
      <c r="C26" s="13"/>
      <c r="D26" s="13"/>
      <c r="E26" s="13"/>
      <c r="F26" s="13"/>
      <c r="G26" s="13"/>
      <c r="H26" s="13"/>
    </row>
    <row r="27" spans="3:8" x14ac:dyDescent="0.3">
      <c r="C27" s="13"/>
      <c r="D27" s="13"/>
      <c r="E27" s="13"/>
      <c r="F27" s="13"/>
      <c r="G27" s="13"/>
      <c r="H27" s="13"/>
    </row>
    <row r="28" spans="3:8" x14ac:dyDescent="0.3">
      <c r="C28" s="13"/>
      <c r="D28" s="13"/>
      <c r="E28" s="13"/>
      <c r="F28" s="13"/>
      <c r="G28" s="13"/>
      <c r="H28" s="13"/>
    </row>
    <row r="29" spans="3:8" x14ac:dyDescent="0.3">
      <c r="C29" s="13"/>
      <c r="D29" s="13"/>
      <c r="E29" s="13"/>
      <c r="F29" s="13"/>
      <c r="G29" s="13"/>
      <c r="H29" s="13"/>
    </row>
    <row r="30" spans="3:8" x14ac:dyDescent="0.3">
      <c r="C30" s="13"/>
      <c r="D30" s="13"/>
      <c r="E30" s="13"/>
      <c r="F30" s="13"/>
      <c r="G30" s="13"/>
      <c r="H30" s="13"/>
    </row>
    <row r="31" spans="3:8" x14ac:dyDescent="0.3">
      <c r="C31" s="13"/>
      <c r="D31" s="13"/>
      <c r="E31" s="13"/>
      <c r="F31" s="13"/>
      <c r="G31" s="13"/>
      <c r="H31" s="13"/>
    </row>
    <row r="32" spans="3:8" x14ac:dyDescent="0.3">
      <c r="C32" s="13"/>
      <c r="D32" s="13"/>
      <c r="E32" s="13"/>
      <c r="F32" s="13"/>
      <c r="G32" s="13"/>
      <c r="H32" s="13"/>
    </row>
    <row r="33" spans="3:8" x14ac:dyDescent="0.3">
      <c r="C33" s="13"/>
      <c r="D33" s="13"/>
      <c r="E33" s="13"/>
      <c r="F33" s="13"/>
      <c r="G33" s="13"/>
      <c r="H33" s="13"/>
    </row>
    <row r="34" spans="3:8" x14ac:dyDescent="0.3">
      <c r="C34" s="13"/>
      <c r="D34" s="13"/>
      <c r="E34" s="13"/>
      <c r="F34" s="13"/>
      <c r="G34" s="13"/>
      <c r="H34" s="13"/>
    </row>
    <row r="35" spans="3:8" x14ac:dyDescent="0.3">
      <c r="C35" s="11"/>
      <c r="D35" s="11"/>
      <c r="E35" s="13"/>
      <c r="F35" s="13"/>
      <c r="G35" s="14"/>
      <c r="H3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4"/>
  <sheetViews>
    <sheetView zoomScale="145" zoomScaleNormal="145" workbookViewId="0">
      <selection activeCell="J9" sqref="J9"/>
    </sheetView>
  </sheetViews>
  <sheetFormatPr baseColWidth="10" defaultRowHeight="14.4" x14ac:dyDescent="0.3"/>
  <cols>
    <col min="4" max="4" width="14.88671875" customWidth="1"/>
  </cols>
  <sheetData>
    <row r="1" spans="1:10" x14ac:dyDescent="0.3">
      <c r="A1" s="1" t="s">
        <v>0</v>
      </c>
    </row>
    <row r="2" spans="1:10" x14ac:dyDescent="0.3">
      <c r="A2">
        <v>4.82</v>
      </c>
      <c r="F2">
        <v>0</v>
      </c>
      <c r="G2">
        <v>12</v>
      </c>
      <c r="H2">
        <f>G2/30</f>
        <v>0.4</v>
      </c>
      <c r="I2">
        <f>F2*H2</f>
        <v>0</v>
      </c>
      <c r="J2">
        <f>F2*F2*H2</f>
        <v>0</v>
      </c>
    </row>
    <row r="3" spans="1:10" x14ac:dyDescent="0.3">
      <c r="A3">
        <v>4.87</v>
      </c>
      <c r="F3">
        <v>1</v>
      </c>
      <c r="G3">
        <v>8</v>
      </c>
      <c r="H3">
        <f t="shared" ref="H3:H6" si="0">G3/30</f>
        <v>0.26666666666666666</v>
      </c>
      <c r="I3">
        <f t="shared" ref="I3:I6" si="1">F3*H3</f>
        <v>0.26666666666666666</v>
      </c>
      <c r="J3">
        <f t="shared" ref="J3:J6" si="2">F3*F3*H3</f>
        <v>0.26666666666666666</v>
      </c>
    </row>
    <row r="4" spans="1:10" x14ac:dyDescent="0.3">
      <c r="A4">
        <v>5.0999999999999996</v>
      </c>
      <c r="F4">
        <v>2</v>
      </c>
      <c r="G4">
        <v>5</v>
      </c>
      <c r="H4">
        <f t="shared" si="0"/>
        <v>0.16666666666666666</v>
      </c>
      <c r="I4">
        <f t="shared" si="1"/>
        <v>0.33333333333333331</v>
      </c>
      <c r="J4">
        <f t="shared" si="2"/>
        <v>0.66666666666666663</v>
      </c>
    </row>
    <row r="5" spans="1:10" x14ac:dyDescent="0.3">
      <c r="A5">
        <v>4.95</v>
      </c>
      <c r="F5">
        <v>3</v>
      </c>
      <c r="G5">
        <v>4</v>
      </c>
      <c r="H5">
        <f t="shared" si="0"/>
        <v>0.13333333333333333</v>
      </c>
      <c r="I5">
        <f t="shared" si="1"/>
        <v>0.4</v>
      </c>
      <c r="J5">
        <f t="shared" si="2"/>
        <v>1.2</v>
      </c>
    </row>
    <row r="6" spans="1:10" x14ac:dyDescent="0.3">
      <c r="A6">
        <v>5.52</v>
      </c>
      <c r="F6">
        <v>4</v>
      </c>
      <c r="G6">
        <v>1</v>
      </c>
      <c r="H6">
        <f t="shared" si="0"/>
        <v>3.3333333333333333E-2</v>
      </c>
      <c r="I6">
        <f t="shared" si="1"/>
        <v>0.13333333333333333</v>
      </c>
      <c r="J6">
        <f t="shared" si="2"/>
        <v>0.53333333333333333</v>
      </c>
    </row>
    <row r="7" spans="1:10" x14ac:dyDescent="0.3">
      <c r="A7">
        <v>4.5199999999999996</v>
      </c>
      <c r="H7">
        <f>SUM(H2:H6)</f>
        <v>1</v>
      </c>
      <c r="I7">
        <f>SUM(I2:I6)</f>
        <v>1.1333333333333333</v>
      </c>
      <c r="J7">
        <f>SUM(J2:J6)</f>
        <v>2.6666666666666665</v>
      </c>
    </row>
    <row r="8" spans="1:10" x14ac:dyDescent="0.3">
      <c r="A8">
        <v>5.34</v>
      </c>
      <c r="J8">
        <f>J7-I7*I7</f>
        <v>1.3822222222222222</v>
      </c>
    </row>
    <row r="9" spans="1:10" x14ac:dyDescent="0.3">
      <c r="A9">
        <v>4.4800000000000004</v>
      </c>
      <c r="J9">
        <f>J8^0.5</f>
        <v>1.1756794725698931</v>
      </c>
    </row>
    <row r="10" spans="1:10" x14ac:dyDescent="0.3">
      <c r="A10">
        <v>4.7300000000000004</v>
      </c>
    </row>
    <row r="11" spans="1:10" x14ac:dyDescent="0.3">
      <c r="A11">
        <v>5.18</v>
      </c>
    </row>
    <row r="12" spans="1:10" x14ac:dyDescent="0.3">
      <c r="A12">
        <v>5.03</v>
      </c>
    </row>
    <row r="13" spans="1:10" x14ac:dyDescent="0.3">
      <c r="A13">
        <v>5.04</v>
      </c>
    </row>
    <row r="14" spans="1:10" x14ac:dyDescent="0.3">
      <c r="A14">
        <v>4.92</v>
      </c>
    </row>
    <row r="15" spans="1:10" x14ac:dyDescent="0.3">
      <c r="A15">
        <v>4.9000000000000004</v>
      </c>
    </row>
    <row r="16" spans="1:10" x14ac:dyDescent="0.3">
      <c r="A16">
        <v>4.83</v>
      </c>
    </row>
    <row r="17" spans="1:1" x14ac:dyDescent="0.3">
      <c r="A17">
        <v>4.75</v>
      </c>
    </row>
    <row r="18" spans="1:1" x14ac:dyDescent="0.3">
      <c r="A18">
        <v>5.0999999999999996</v>
      </c>
    </row>
    <row r="19" spans="1:1" x14ac:dyDescent="0.3">
      <c r="A19">
        <v>4.7300000000000004</v>
      </c>
    </row>
    <row r="20" spans="1:1" x14ac:dyDescent="0.3">
      <c r="A20">
        <v>5.04</v>
      </c>
    </row>
    <row r="21" spans="1:1" x14ac:dyDescent="0.3">
      <c r="A21">
        <v>5.0599999999999996</v>
      </c>
    </row>
    <row r="22" spans="1:1" x14ac:dyDescent="0.3">
      <c r="A22">
        <v>5.33</v>
      </c>
    </row>
    <row r="23" spans="1:1" x14ac:dyDescent="0.3">
      <c r="A23">
        <v>5.18</v>
      </c>
    </row>
    <row r="24" spans="1:1" x14ac:dyDescent="0.3">
      <c r="A24">
        <v>4.6100000000000003</v>
      </c>
    </row>
    <row r="25" spans="1:1" x14ac:dyDescent="0.3">
      <c r="A25">
        <v>5.03</v>
      </c>
    </row>
    <row r="26" spans="1:1" x14ac:dyDescent="0.3">
      <c r="A26">
        <v>4.66</v>
      </c>
    </row>
    <row r="27" spans="1:1" x14ac:dyDescent="0.3">
      <c r="A27">
        <v>4.82</v>
      </c>
    </row>
    <row r="28" spans="1:1" x14ac:dyDescent="0.3">
      <c r="A28">
        <v>4.7699999999999996</v>
      </c>
    </row>
    <row r="29" spans="1:1" x14ac:dyDescent="0.3">
      <c r="A29">
        <v>5.1100000000000003</v>
      </c>
    </row>
    <row r="30" spans="1:1" x14ac:dyDescent="0.3">
      <c r="A30">
        <v>5.36</v>
      </c>
    </row>
    <row r="31" spans="1:1" x14ac:dyDescent="0.3">
      <c r="A31">
        <v>5.0999999999999996</v>
      </c>
    </row>
    <row r="32" spans="1:1" x14ac:dyDescent="0.3">
      <c r="A32">
        <v>4.87</v>
      </c>
    </row>
    <row r="33" spans="1:1" x14ac:dyDescent="0.3">
      <c r="A33">
        <v>5</v>
      </c>
    </row>
    <row r="34" spans="1:1" x14ac:dyDescent="0.3">
      <c r="A34">
        <v>5.0199999999999996</v>
      </c>
    </row>
    <row r="35" spans="1:1" x14ac:dyDescent="0.3">
      <c r="A35">
        <v>4.9800000000000004</v>
      </c>
    </row>
    <row r="36" spans="1:1" x14ac:dyDescent="0.3">
      <c r="A36">
        <v>5.24</v>
      </c>
    </row>
    <row r="37" spans="1:1" x14ac:dyDescent="0.3">
      <c r="A37">
        <v>5.33</v>
      </c>
    </row>
    <row r="38" spans="1:1" x14ac:dyDescent="0.3">
      <c r="A38">
        <v>4.93</v>
      </c>
    </row>
    <row r="39" spans="1:1" x14ac:dyDescent="0.3">
      <c r="A39">
        <v>5.0199999999999996</v>
      </c>
    </row>
    <row r="40" spans="1:1" x14ac:dyDescent="0.3">
      <c r="A40">
        <v>4.91</v>
      </c>
    </row>
    <row r="41" spans="1:1" x14ac:dyDescent="0.3">
      <c r="A41">
        <v>4.72</v>
      </c>
    </row>
    <row r="42" spans="1:1" x14ac:dyDescent="0.3">
      <c r="A42">
        <v>5.23</v>
      </c>
    </row>
    <row r="43" spans="1:1" x14ac:dyDescent="0.3">
      <c r="A43">
        <v>5.0599999999999996</v>
      </c>
    </row>
    <row r="44" spans="1:1" x14ac:dyDescent="0.3">
      <c r="A44">
        <v>5.48</v>
      </c>
    </row>
    <row r="45" spans="1:1" x14ac:dyDescent="0.3">
      <c r="A45">
        <v>5.0199999999999996</v>
      </c>
    </row>
    <row r="46" spans="1:1" x14ac:dyDescent="0.3">
      <c r="A46">
        <v>4.9000000000000004</v>
      </c>
    </row>
    <row r="47" spans="1:1" x14ac:dyDescent="0.3">
      <c r="A47">
        <v>4.62</v>
      </c>
    </row>
    <row r="48" spans="1:1" x14ac:dyDescent="0.3">
      <c r="A48">
        <v>5.05</v>
      </c>
    </row>
    <row r="49" spans="1:1" x14ac:dyDescent="0.3">
      <c r="A49">
        <v>4.95</v>
      </c>
    </row>
    <row r="50" spans="1:1" x14ac:dyDescent="0.3">
      <c r="A50">
        <v>4.88</v>
      </c>
    </row>
    <row r="51" spans="1:1" x14ac:dyDescent="0.3">
      <c r="A51">
        <v>4.92</v>
      </c>
    </row>
    <row r="52" spans="1:1" x14ac:dyDescent="0.3">
      <c r="A52">
        <v>4.5</v>
      </c>
    </row>
    <row r="53" spans="1:1" x14ac:dyDescent="0.3">
      <c r="A53">
        <v>4.68</v>
      </c>
    </row>
    <row r="54" spans="1:1" x14ac:dyDescent="0.3">
      <c r="A54">
        <v>5.3</v>
      </c>
    </row>
    <row r="55" spans="1:1" x14ac:dyDescent="0.3">
      <c r="A55">
        <v>5.3</v>
      </c>
    </row>
    <row r="56" spans="1:1" x14ac:dyDescent="0.3">
      <c r="A56">
        <v>5.62</v>
      </c>
    </row>
    <row r="57" spans="1:1" x14ac:dyDescent="0.3">
      <c r="A57">
        <v>5</v>
      </c>
    </row>
    <row r="58" spans="1:1" x14ac:dyDescent="0.3">
      <c r="A58">
        <v>5.04</v>
      </c>
    </row>
    <row r="59" spans="1:1" x14ac:dyDescent="0.3">
      <c r="A59">
        <v>4.5599999999999996</v>
      </c>
    </row>
    <row r="60" spans="1:1" x14ac:dyDescent="0.3">
      <c r="A60">
        <v>5.3</v>
      </c>
    </row>
    <row r="61" spans="1:1" x14ac:dyDescent="0.3">
      <c r="A61">
        <v>4.82</v>
      </c>
    </row>
    <row r="62" spans="1:1" x14ac:dyDescent="0.3">
      <c r="A62">
        <v>4.74</v>
      </c>
    </row>
    <row r="63" spans="1:1" x14ac:dyDescent="0.3">
      <c r="A63">
        <v>5.4</v>
      </c>
    </row>
    <row r="64" spans="1:1" x14ac:dyDescent="0.3">
      <c r="A64">
        <v>5.05</v>
      </c>
    </row>
    <row r="65" spans="1:7" x14ac:dyDescent="0.3">
      <c r="A65">
        <v>5.34</v>
      </c>
    </row>
    <row r="66" spans="1:7" x14ac:dyDescent="0.3">
      <c r="A66">
        <v>5.28</v>
      </c>
    </row>
    <row r="67" spans="1:7" x14ac:dyDescent="0.3">
      <c r="A67">
        <v>4.87</v>
      </c>
    </row>
    <row r="68" spans="1:7" x14ac:dyDescent="0.3">
      <c r="A68">
        <v>5.24</v>
      </c>
    </row>
    <row r="69" spans="1:7" x14ac:dyDescent="0.3">
      <c r="A69">
        <v>5.2</v>
      </c>
    </row>
    <row r="70" spans="1:7" x14ac:dyDescent="0.3">
      <c r="A70">
        <v>5.19</v>
      </c>
    </row>
    <row r="71" spans="1:7" x14ac:dyDescent="0.3">
      <c r="A71">
        <v>5.15</v>
      </c>
    </row>
    <row r="72" spans="1:7" x14ac:dyDescent="0.3">
      <c r="A72">
        <v>5.14</v>
      </c>
    </row>
    <row r="73" spans="1:7" x14ac:dyDescent="0.3">
      <c r="A73">
        <v>5.22</v>
      </c>
      <c r="G73">
        <v>0.46697471000000002</v>
      </c>
    </row>
    <row r="74" spans="1:7" x14ac:dyDescent="0.3">
      <c r="A74">
        <v>5.0999999999999996</v>
      </c>
      <c r="G74">
        <v>0.36106292000000001</v>
      </c>
    </row>
    <row r="75" spans="1:7" x14ac:dyDescent="0.3">
      <c r="A75">
        <v>4.72</v>
      </c>
      <c r="G75">
        <v>0.13400272999999999</v>
      </c>
    </row>
    <row r="76" spans="1:7" x14ac:dyDescent="0.3">
      <c r="A76">
        <v>4.58</v>
      </c>
      <c r="G76">
        <f>SUM(G73:G75)</f>
        <v>0.96204036000000004</v>
      </c>
    </row>
    <row r="77" spans="1:7" x14ac:dyDescent="0.3">
      <c r="A77">
        <v>5.5</v>
      </c>
    </row>
    <row r="78" spans="1:7" x14ac:dyDescent="0.3">
      <c r="A78">
        <v>4.95</v>
      </c>
      <c r="D78" t="s">
        <v>3</v>
      </c>
      <c r="E78" s="3" t="s">
        <v>4</v>
      </c>
    </row>
    <row r="79" spans="1:7" x14ac:dyDescent="0.3">
      <c r="A79">
        <v>5.42</v>
      </c>
    </row>
    <row r="80" spans="1:7" x14ac:dyDescent="0.3">
      <c r="A80">
        <v>5.46</v>
      </c>
      <c r="C80" s="2" t="s">
        <v>1</v>
      </c>
      <c r="D80" s="3">
        <f>AVERAGE(A2:A81)</f>
        <v>5.0202500000000008</v>
      </c>
    </row>
    <row r="81" spans="1:5" x14ac:dyDescent="0.3">
      <c r="A81">
        <v>4.9400000000000004</v>
      </c>
      <c r="C81" s="2" t="s">
        <v>2</v>
      </c>
      <c r="D81" s="3">
        <f>_xlfn.STDEV.S(A2:A81)</f>
        <v>0.26189173045556946</v>
      </c>
    </row>
    <row r="82" spans="1:5" x14ac:dyDescent="0.3">
      <c r="D82">
        <f>MEDIAN(A2:A81)</f>
        <v>5.0250000000000004</v>
      </c>
    </row>
    <row r="84" spans="1:5" x14ac:dyDescent="0.3">
      <c r="D84">
        <f>D80-3*D81</f>
        <v>4.2345748086332922</v>
      </c>
      <c r="E84">
        <f>D80+3*D81</f>
        <v>5.8059251913667094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4</vt:lpstr>
      <vt:lpstr>Ejercicio 5</vt:lpstr>
      <vt:lpstr>Ejercicio 6</vt:lpstr>
      <vt:lpstr>Ejercicio 10</vt:lpstr>
      <vt:lpstr>Ejercicio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Barrea</dc:creator>
  <cp:lastModifiedBy>Juan M</cp:lastModifiedBy>
  <dcterms:created xsi:type="dcterms:W3CDTF">2021-04-12T13:49:09Z</dcterms:created>
  <dcterms:modified xsi:type="dcterms:W3CDTF">2024-05-19T18:09:06Z</dcterms:modified>
</cp:coreProperties>
</file>